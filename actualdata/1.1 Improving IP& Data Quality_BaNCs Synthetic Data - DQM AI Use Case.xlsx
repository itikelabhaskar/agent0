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lloydsbanking-my.sharepoint.com/personal/terri-ann_saltmer_lloydsbanking_com/Documents/"/>
    </mc:Choice>
  </mc:AlternateContent>
  <xr:revisionPtr revIDLastSave="0" documentId="8_{6991E51B-83F1-4B01-ACEF-0C2DC06BB10B}" xr6:coauthVersionLast="47" xr6:coauthVersionMax="47" xr10:uidLastSave="{00000000-0000-0000-0000-000000000000}"/>
  <bookViews>
    <workbookView xWindow="-105" yWindow="0" windowWidth="16995" windowHeight="15585" firstSheet="3" activeTab="3" xr2:uid="{15CED77D-776E-4646-99B4-5CC620577A8D}"/>
  </bookViews>
  <sheets>
    <sheet name="Week1" sheetId="1" r:id="rId1"/>
    <sheet name="Week2" sheetId="2" r:id="rId2"/>
    <sheet name="Week3" sheetId="3" r:id="rId3"/>
    <sheet name="Week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1" i="4" l="1"/>
  <c r="Z101" i="4" s="1"/>
  <c r="O101" i="4"/>
  <c r="Y100" i="4"/>
  <c r="Z100" i="4" s="1"/>
  <c r="O100" i="4"/>
  <c r="Y99" i="4"/>
  <c r="Z99" i="4" s="1"/>
  <c r="O99" i="4"/>
  <c r="Y98" i="4"/>
  <c r="Z98" i="4" s="1"/>
  <c r="O98" i="4"/>
  <c r="Y97" i="4"/>
  <c r="Z97" i="4" s="1"/>
  <c r="O97" i="4"/>
  <c r="Y96" i="4"/>
  <c r="Z96" i="4" s="1"/>
  <c r="O96" i="4"/>
  <c r="Y95" i="4"/>
  <c r="Z95" i="4" s="1"/>
  <c r="O95" i="4"/>
  <c r="Y94" i="4"/>
  <c r="Z94" i="4" s="1"/>
  <c r="O94" i="4"/>
  <c r="Y93" i="4"/>
  <c r="Z93" i="4" s="1"/>
  <c r="O93" i="4"/>
  <c r="Y92" i="4"/>
  <c r="Z92" i="4" s="1"/>
  <c r="O92" i="4"/>
  <c r="Y91" i="4"/>
  <c r="Z91" i="4" s="1"/>
  <c r="O91" i="4"/>
  <c r="Y90" i="4"/>
  <c r="Z90" i="4" s="1"/>
  <c r="O90" i="4"/>
  <c r="Y89" i="4"/>
  <c r="Z89" i="4" s="1"/>
  <c r="O89" i="4"/>
  <c r="Y88" i="4"/>
  <c r="Z88" i="4" s="1"/>
  <c r="O88" i="4"/>
  <c r="Y87" i="4"/>
  <c r="Z87" i="4" s="1"/>
  <c r="O87" i="4"/>
  <c r="Y86" i="4"/>
  <c r="Z86" i="4" s="1"/>
  <c r="O86" i="4"/>
  <c r="Y85" i="4"/>
  <c r="Z85" i="4" s="1"/>
  <c r="O85" i="4"/>
  <c r="Y84" i="4"/>
  <c r="Z84" i="4" s="1"/>
  <c r="O84" i="4"/>
  <c r="Y83" i="4"/>
  <c r="Z83" i="4" s="1"/>
  <c r="O83" i="4"/>
  <c r="Y82" i="4"/>
  <c r="Z82" i="4" s="1"/>
  <c r="O82" i="4"/>
  <c r="Y81" i="4"/>
  <c r="Z81" i="4" s="1"/>
  <c r="O81" i="4"/>
  <c r="Y80" i="4"/>
  <c r="Z80" i="4" s="1"/>
  <c r="O80" i="4"/>
  <c r="Y79" i="4"/>
  <c r="Z79" i="4" s="1"/>
  <c r="O79" i="4"/>
  <c r="Y78" i="4"/>
  <c r="Z78" i="4" s="1"/>
  <c r="O78" i="4"/>
  <c r="Y77" i="4"/>
  <c r="Z77" i="4" s="1"/>
  <c r="O77" i="4"/>
  <c r="Y76" i="4"/>
  <c r="Z76" i="4" s="1"/>
  <c r="O76" i="4"/>
  <c r="Y75" i="4"/>
  <c r="Z75" i="4" s="1"/>
  <c r="O75" i="4"/>
  <c r="Y74" i="4"/>
  <c r="Z74" i="4" s="1"/>
  <c r="O74" i="4"/>
  <c r="Y73" i="4"/>
  <c r="Z73" i="4" s="1"/>
  <c r="O73" i="4"/>
  <c r="Y72" i="4"/>
  <c r="Z72" i="4" s="1"/>
  <c r="O72" i="4"/>
  <c r="Y71" i="4"/>
  <c r="Z71" i="4" s="1"/>
  <c r="O71" i="4"/>
  <c r="Y70" i="4"/>
  <c r="Z70" i="4" s="1"/>
  <c r="O70" i="4"/>
  <c r="Y69" i="4"/>
  <c r="Z69" i="4" s="1"/>
  <c r="Z68" i="4"/>
  <c r="Y68" i="4"/>
  <c r="O68" i="4"/>
  <c r="Z67" i="4"/>
  <c r="Y67" i="4"/>
  <c r="O67" i="4"/>
  <c r="Y66" i="4"/>
  <c r="Z66" i="4" s="1"/>
  <c r="O66" i="4"/>
  <c r="Z65" i="4"/>
  <c r="Y65" i="4"/>
  <c r="O65" i="4"/>
  <c r="Z64" i="4"/>
  <c r="Y64" i="4"/>
  <c r="O64" i="4"/>
  <c r="Z63" i="4"/>
  <c r="Y63" i="4"/>
  <c r="O63" i="4"/>
  <c r="Y62" i="4"/>
  <c r="Z62" i="4" s="1"/>
  <c r="O62" i="4"/>
  <c r="Z61" i="4"/>
  <c r="Y61" i="4"/>
  <c r="O61" i="4"/>
  <c r="Z60" i="4"/>
  <c r="Y60" i="4"/>
  <c r="O60" i="4"/>
  <c r="Z59" i="4"/>
  <c r="Y59" i="4"/>
  <c r="O59" i="4"/>
  <c r="Y58" i="4"/>
  <c r="Z58" i="4" s="1"/>
  <c r="O58" i="4"/>
  <c r="Z57" i="4"/>
  <c r="Y57" i="4"/>
  <c r="O57" i="4"/>
  <c r="Z56" i="4"/>
  <c r="Y56" i="4"/>
  <c r="O56" i="4"/>
  <c r="Z55" i="4"/>
  <c r="Y55" i="4"/>
  <c r="O55" i="4"/>
  <c r="Y54" i="4"/>
  <c r="Z54" i="4" s="1"/>
  <c r="O54" i="4"/>
  <c r="Z53" i="4"/>
  <c r="Y53" i="4"/>
  <c r="O53" i="4"/>
  <c r="Z52" i="4"/>
  <c r="Y52" i="4"/>
  <c r="O52" i="4"/>
  <c r="Z51" i="4"/>
  <c r="Y51" i="4"/>
  <c r="O51" i="4"/>
  <c r="Y50" i="4"/>
  <c r="Z50" i="4" s="1"/>
  <c r="O50" i="4"/>
  <c r="Z49" i="4"/>
  <c r="Y49" i="4"/>
  <c r="O49" i="4"/>
  <c r="Z48" i="4"/>
  <c r="Y48" i="4"/>
  <c r="O48" i="4"/>
  <c r="Z47" i="4"/>
  <c r="Y47" i="4"/>
  <c r="O47" i="4"/>
  <c r="Y46" i="4"/>
  <c r="Z46" i="4" s="1"/>
  <c r="O46" i="4"/>
  <c r="Z45" i="4"/>
  <c r="Y45" i="4"/>
  <c r="O45" i="4"/>
  <c r="Z44" i="4"/>
  <c r="Y44" i="4"/>
  <c r="O44" i="4"/>
  <c r="Z43" i="4"/>
  <c r="Y43" i="4"/>
  <c r="O43" i="4"/>
  <c r="Y42" i="4"/>
  <c r="Z42" i="4" s="1"/>
  <c r="O42" i="4"/>
  <c r="Z41" i="4"/>
  <c r="Y41" i="4"/>
  <c r="O41" i="4"/>
  <c r="Z40" i="4"/>
  <c r="Y40" i="4"/>
  <c r="O40" i="4"/>
  <c r="Z39" i="4"/>
  <c r="Y39" i="4"/>
  <c r="O39" i="4"/>
  <c r="Y38" i="4"/>
  <c r="Z38" i="4" s="1"/>
  <c r="O38" i="4"/>
  <c r="Z37" i="4"/>
  <c r="Y37" i="4"/>
  <c r="O37" i="4"/>
  <c r="Z36" i="4"/>
  <c r="Y36" i="4"/>
  <c r="O36" i="4"/>
  <c r="Z35" i="4"/>
  <c r="Y35" i="4"/>
  <c r="O35" i="4"/>
  <c r="Y34" i="4"/>
  <c r="Z34" i="4" s="1"/>
  <c r="O34" i="4"/>
  <c r="Z33" i="4"/>
  <c r="Y33" i="4"/>
  <c r="O33" i="4"/>
  <c r="Z32" i="4"/>
  <c r="Y32" i="4"/>
  <c r="O32" i="4"/>
  <c r="Z31" i="4"/>
  <c r="Y31" i="4"/>
  <c r="O31" i="4"/>
  <c r="Y30" i="4"/>
  <c r="Z30" i="4" s="1"/>
  <c r="O30" i="4"/>
  <c r="Z29" i="4"/>
  <c r="Y29" i="4"/>
  <c r="O29" i="4"/>
  <c r="Z28" i="4"/>
  <c r="Y28" i="4"/>
  <c r="O28" i="4"/>
  <c r="Z27" i="4"/>
  <c r="Y27" i="4"/>
  <c r="O27" i="4"/>
  <c r="Z26" i="4"/>
  <c r="Y26" i="4"/>
  <c r="O26" i="4"/>
  <c r="Z25" i="4"/>
  <c r="Y25" i="4"/>
  <c r="O25" i="4"/>
  <c r="AA24" i="4"/>
  <c r="Y24" i="4"/>
  <c r="Z24" i="4" s="1"/>
  <c r="O24" i="4"/>
  <c r="Y23" i="4"/>
  <c r="Z23" i="4" s="1"/>
  <c r="O23" i="4"/>
  <c r="Y22" i="4"/>
  <c r="Z22" i="4" s="1"/>
  <c r="O22" i="4"/>
  <c r="Y21" i="4"/>
  <c r="Z21" i="4" s="1"/>
  <c r="O21" i="4"/>
  <c r="Y20" i="4"/>
  <c r="Z20" i="4" s="1"/>
  <c r="O20" i="4"/>
  <c r="Y19" i="4"/>
  <c r="Z19" i="4" s="1"/>
  <c r="O19" i="4"/>
  <c r="Y18" i="4"/>
  <c r="Z18" i="4" s="1"/>
  <c r="O18" i="4"/>
  <c r="Y17" i="4"/>
  <c r="Z17" i="4" s="1"/>
  <c r="O17" i="4"/>
  <c r="Y16" i="4"/>
  <c r="X16" i="4"/>
  <c r="Z16" i="4" s="1"/>
  <c r="O16" i="4"/>
  <c r="Z15" i="4"/>
  <c r="Y15" i="4"/>
  <c r="O15" i="4"/>
  <c r="Y14" i="4"/>
  <c r="Z14" i="4" s="1"/>
  <c r="O14" i="4"/>
  <c r="Y13" i="4"/>
  <c r="Z13" i="4" s="1"/>
  <c r="O13" i="4"/>
  <c r="Z12" i="4"/>
  <c r="Y12" i="4"/>
  <c r="O12" i="4"/>
  <c r="Z11" i="4"/>
  <c r="Y11" i="4"/>
  <c r="O11" i="4"/>
  <c r="Y10" i="4"/>
  <c r="Z10" i="4" s="1"/>
  <c r="O10" i="4"/>
  <c r="Y9" i="4"/>
  <c r="Z9" i="4" s="1"/>
  <c r="O9" i="4"/>
  <c r="Z8" i="4"/>
  <c r="Y8" i="4"/>
  <c r="Y7" i="4"/>
  <c r="O7" i="4"/>
  <c r="Y6" i="4"/>
  <c r="Z6" i="4" s="1"/>
  <c r="O6" i="4"/>
  <c r="Z5" i="4"/>
  <c r="Y5" i="4"/>
  <c r="O5" i="4"/>
  <c r="Z4" i="4"/>
  <c r="Y4" i="4"/>
  <c r="O4" i="4"/>
  <c r="Z3" i="4"/>
  <c r="Y3" i="4"/>
  <c r="O3" i="4"/>
  <c r="Y2" i="4"/>
  <c r="Z2" i="4" s="1"/>
  <c r="O2" i="4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Z26" i="3"/>
  <c r="O26" i="3"/>
  <c r="O25" i="3"/>
  <c r="AA24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7" i="3"/>
  <c r="O6" i="3"/>
  <c r="O5" i="3"/>
  <c r="O4" i="3"/>
  <c r="O3" i="3"/>
  <c r="O2" i="3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Z26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7" i="2"/>
  <c r="O6" i="2"/>
  <c r="O5" i="2"/>
  <c r="O4" i="2"/>
  <c r="O3" i="2"/>
  <c r="O2" i="2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Z26" i="1"/>
  <c r="O26" i="1"/>
  <c r="O25" i="1"/>
  <c r="AA24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7" i="1"/>
  <c r="O6" i="1"/>
  <c r="O5" i="1"/>
  <c r="O4" i="1"/>
  <c r="O3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tc={D0964AA7-7E13-46CE-97CC-EC8FB11B9A86}</author>
    <author>tc={60C0408C-219B-43B2-9B50-9E6CB77AB896}</author>
    <author>tc={8999ED4D-6ADA-4494-9A32-31FB0CC4A9BF}</author>
    <author>tc={A3EAC8C3-B8C4-4157-8519-7893D0A29307}</author>
    <author>tc={43765D56-1B9C-4001-A58C-B0A2E4F04F0A}</author>
    <author>tc={7D851647-EFF2-446F-941A-95921AA8DFDF}</author>
    <author>tc={0F899AC0-83B9-41CB-8A00-C9B06DDB8DB7}</author>
    <author>tc={3D042A1F-8A9B-49D7-952F-34C44B740810}</author>
    <author>tc={50ABDDCB-F7C6-449E-81E8-A6E808B08DE5}</author>
    <author>tc={6EC07CD5-684B-41CC-AD8F-212C210B2378}</author>
    <author>tc={F94B02BE-948B-43D3-99D8-1CDC791EC6A6}</author>
    <author>tc={A84DB606-6475-43A4-8248-77A5F9B72EA1}</author>
    <author>tc={33EFC499-0A7F-4CE8-9CC7-F2EB0B97803C}</author>
    <author>tc={4F3CFC3D-1AE0-4D42-B51C-76E90ABB04D1}</author>
    <author>tc={1B1B5A4E-7AD7-418E-8691-42B1A28EBB37}</author>
    <author>tc={716AA3DE-1837-49C6-A025-BA7DB3BEBCB2}</author>
    <author>tc={B0C162D2-7B5E-417E-9359-9FD2CCB7E4C1}</author>
    <author>tc={CB60C01A-1353-4BBE-823B-6630DFEDEDB3}</author>
    <author>tc={CED978AE-7927-40EF-88D6-25A4BF862CF2}</author>
    <author>tc={BB60A9E5-D035-440F-A830-EF88E33E6FBE}</author>
    <author>tc={CFB28BDA-EF6E-4707-93A0-7746AC793F48}</author>
  </authors>
  <commentList>
    <comment ref="K6" authorId="0" shapeId="0" xr:uid="{D0964AA7-7E13-46CE-97CC-EC8FB11B9A86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postcode</t>
      </text>
    </comment>
    <comment ref="K7" authorId="1" shapeId="0" xr:uid="{60C0408C-219B-43B2-9B50-9E6CB77AB8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Repeat Postcode</t>
      </text>
    </comment>
    <comment ref="Z7" authorId="2" shapeId="0" xr:uid="{8999ED4D-6ADA-4494-9A32-31FB0CC4A9B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Income doesn’t work out with Gross-Tax</t>
      </text>
    </comment>
    <comment ref="O8" authorId="3" shapeId="0" xr:uid="{A3EAC8C3-B8C4-4157-8519-7893D0A2930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Projected retirement data according to DOB and retirement age</t>
      </text>
    </comment>
    <comment ref="G10" authorId="4" shapeId="0" xr:uid="{43765D56-1B9C-4001-A58C-B0A2E4F04F0A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DOB</t>
      </text>
    </comment>
    <comment ref="G23" authorId="5" shapeId="0" xr:uid="{7D851647-EFF2-446F-941A-95921AA8DFDF}">
      <text>
        <t>[Threaded comment]
Your version of Excel allows you to read this threaded comment; however, any edits to it will get removed if the file is opened in a newer version of Excel. Learn more: https://go.microsoft.com/fwlink/?linkid=870924
Comment:
    DOB in the future</t>
      </text>
    </comment>
    <comment ref="Q24" authorId="6" shapeId="0" xr:uid="{0F899AC0-83B9-41CB-8A00-C9B06DDB8D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date for closed status</t>
      </text>
    </comment>
    <comment ref="R24" authorId="7" shapeId="0" xr:uid="{3D042A1F-8A9B-49D7-952F-34C44B7408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date for closed status</t>
      </text>
    </comment>
    <comment ref="AA24" authorId="8" shapeId="0" xr:uid="{50ABDDCB-F7C6-449E-81E8-A6E808B08DE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Units+Inciome</t>
      </text>
    </comment>
    <comment ref="K26" authorId="9" shapeId="0" xr:uid="{6EC07CD5-684B-41CC-AD8F-212C210B23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Repeat Postcode</t>
      </text>
    </comment>
    <comment ref="Z26" authorId="10" shapeId="0" xr:uid="{F94B02BE-948B-43D3-99D8-1CDC791EC6A6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Income+units</t>
      </text>
    </comment>
    <comment ref="G37" authorId="11" shapeId="0" xr:uid="{A84DB606-6475-43A4-8248-77A5F9B72EA1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DOB</t>
      </text>
    </comment>
    <comment ref="D49" authorId="12" shapeId="0" xr:uid="{33EFC499-0A7F-4CE8-9CC7-F2EB0B9780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Repeat name, NINO and DOB</t>
      </text>
    </comment>
    <comment ref="E49" authorId="13" shapeId="0" xr:uid="{4F3CFC3D-1AE0-4D42-B51C-76E90ABB04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Repeat name, NINO and DOB</t>
      </text>
    </comment>
    <comment ref="F49" authorId="14" shapeId="0" xr:uid="{1B1B5A4E-7AD7-418E-8691-42B1A28EBB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Repeat name, NINO and DOB</t>
      </text>
    </comment>
    <comment ref="G49" authorId="15" shapeId="0" xr:uid="{716AA3DE-1837-49C6-A025-BA7DB3BEBC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Repeat name, NINO and DOB</t>
      </text>
    </comment>
    <comment ref="G69" authorId="16" shapeId="0" xr:uid="{B0C162D2-7B5E-417E-9359-9FD2CCB7E4C1}">
      <text>
        <t>[Threaded comment]
Your version of Excel allows you to read this threaded comment; however, any edits to it will get removed if the file is opened in a newer version of Excel. Learn more: https://go.microsoft.com/fwlink/?linkid=870924
Comment:
    DOB too far in the past</t>
      </text>
    </comment>
    <comment ref="J90" authorId="17" shapeId="0" xr:uid="{CB60C01A-1353-4BBE-823B-6630DFEDEDB3}">
      <text>
        <t>[Threaded comment]
Your version of Excel allows you to read this threaded comment; however, any edits to it will get removed if the file is opened in a newer version of Excel. Learn more: https://go.microsoft.com/fwlink/?linkid=870924
Comment:
    Death date for an ALIV person</t>
      </text>
    </comment>
    <comment ref="M90" authorId="18" shapeId="0" xr:uid="{CED978AE-7927-40EF-88D6-25A4BF862CF2}">
      <text>
        <t>[Threaded comment]
Your version of Excel allows you to read this threaded comment; however, any edits to it will get removed if the file is opened in a newer version of Excel. Learn more: https://go.microsoft.com/fwlink/?linkid=870924
Comment:
    Death date for an ALIV person</t>
      </text>
    </comment>
    <comment ref="Q96" authorId="19" shapeId="0" xr:uid="{BB60A9E5-D035-440F-A830-EF88E33E6FB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or an active member</t>
      </text>
    </comment>
    <comment ref="R96" authorId="20" shapeId="0" xr:uid="{CFB28BDA-EF6E-4707-93A0-7746AC793F4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or an active member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tc={B78A5227-280A-4D78-A950-4671CAB365D2}</author>
    <author>tc={67141169-D878-427C-9C72-9901A9D7EB84}</author>
    <author>tc={E78BA4E6-3209-47DE-98DE-3D944DF1EDDB}</author>
  </authors>
  <commentList>
    <comment ref="AA1" authorId="0" shapeId="0" xr:uid="{B78A5227-280A-4D78-A950-4671CAB365D2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Units*2 for all customers</t>
      </text>
    </comment>
    <comment ref="C12" authorId="1" shapeId="0" xr:uid="{67141169-D878-427C-9C72-9901A9D7EB84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number changed from week 1</t>
      </text>
    </comment>
    <comment ref="E31" authorId="2" shapeId="0" xr:uid="{E78BA4E6-3209-47DE-98DE-3D944DF1EDDB}">
      <text>
        <t>[Threaded comment]
Your version of Excel allows you to read this threaded comment; however, any edits to it will get removed if the file is opened in a newer version of Excel. Learn more: https://go.microsoft.com/fwlink/?linkid=870924
Comment:
    Surname changed only for Week 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tc={46DCEBAC-DB03-4EC2-A2AA-28576177AFEA}</author>
    <author>tc={D57D75F9-57DC-4CA2-8DBA-1B064464B1D7}</author>
    <author>tc={55EC4710-7B8C-4D82-B659-CF6D49A7F19D}</author>
    <author>tc={19AD08EA-B82A-464E-8A61-4EB12CF24CDD}</author>
    <author>tc={4072CADA-68A8-4FB9-AEAC-8BED813A627F}</author>
  </authors>
  <commentList>
    <comment ref="Y2" authorId="0" shapeId="0" xr:uid="{46DCEBAC-DB03-4EC2-A2AA-28576177AFEA}">
      <text>
        <t>[Threaded comment]
Your version of Excel allows you to read this threaded comment; however, any edits to it will get removed if the file is opened in a newer version of Excel. Learn more: https://go.microsoft.com/fwlink/?linkid=870924
Comment:
    Tax too low</t>
      </text>
    </comment>
    <comment ref="Y65" authorId="1" shapeId="0" xr:uid="{D57D75F9-57DC-4CA2-8DBA-1B064464B1D7}">
      <text>
        <t>[Threaded comment]
Your version of Excel allows you to read this threaded comment; however, any edits to it will get removed if the file is opened in a newer version of Excel. Learn more: https://go.microsoft.com/fwlink/?linkid=870924
Comment:
    Tax too high, extra £1000</t>
      </text>
    </comment>
    <comment ref="N77" authorId="2" shapeId="0" xr:uid="{55EC4710-7B8C-4D82-B659-CF6D49A7F1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Policy number changed for week 3</t>
      </text>
    </comment>
    <comment ref="U88" authorId="3" shapeId="0" xr:uid="{19AD08EA-B82A-464E-8A61-4EB12CF24CDD}">
      <text>
        <t>[Threaded comment]
Your version of Excel allows you to read this threaded comment; however, any edits to it will get removed if the file is opened in a newer version of Excel. Learn more: https://go.microsoft.com/fwlink/?linkid=870924
Comment:
    Frequency changed from monthly/yearly-&gt;quarterly for week 3</t>
      </text>
    </comment>
    <comment ref="D95" authorId="4" shapeId="0" xr:uid="{4072CADA-68A8-4FB9-AEAC-8BED813A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name changed only for week 3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tc={7EED12B6-381E-4D67-8486-AB91088C094B}</author>
    <author>tc={BB9DB1EF-F33E-4A50-A51D-F66F4F4F4560}</author>
    <author>tc={1920720D-79F9-4F36-A796-725557DDE2A7}</author>
    <author>tc={4028CA3A-F1BC-4602-9C69-4236CB75DBB4}</author>
    <author>tc={29480FD7-C509-4286-B94A-C278A82F1E86}</author>
    <author>tc={E0F652F6-2715-4390-993F-9791C924D505}</author>
    <author>tc={8C27F5EC-67F8-4327-BCB0-A3032C571624}</author>
  </authors>
  <commentList>
    <comment ref="Y1" authorId="0" shapeId="0" xr:uid="{7EED12B6-381E-4D67-8486-AB91088C094B}">
      <text>
        <t>[Threaded comment]
Your version of Excel allows you to read this threaded comment; however, any edits to it will get removed if the file is opened in a newer version of Excel. Learn more: https://go.microsoft.com/fwlink/?linkid=870924
Comment:
    Tax increase from 20% in week 1,2,3 to 25% in week 4</t>
      </text>
    </comment>
    <comment ref="X16" authorId="1" shapeId="0" xr:uid="{BB9DB1EF-F33E-4A50-A51D-F66F4F4F4560}">
      <text>
        <t>[Threaded comment]
Your version of Excel allows you to read this threaded comment; however, any edits to it will get removed if the file is opened in a newer version of Excel. Learn more: https://go.microsoft.com/fwlink/?linkid=870924
Comment:
    Gross being a sum of 3 customers below</t>
      </text>
    </comment>
    <comment ref="Z16" authorId="2" shapeId="0" xr:uid="{1920720D-79F9-4F36-A796-725557DDE2A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Income incorrect as gross being a sum of 3 customers below</t>
      </text>
    </comment>
    <comment ref="P43" authorId="3" shapeId="0" xr:uid="{4028CA3A-F1BC-4602-9C69-4236CB75DBB4}">
      <text>
        <t>[Threaded comment]
Your version of Excel allows you to read this threaded comment; however, any edits to it will get removed if the file is opened in a newer version of Excel. Learn more: https://go.microsoft.com/fwlink/?linkid=870924
Comment:
    Retirement age suddenly increased for week 4</t>
      </text>
    </comment>
    <comment ref="X66" authorId="4" shapeId="0" xr:uid="{29480FD7-C509-4286-B94A-C278A82F1E8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gross</t>
      </text>
    </comment>
    <comment ref="Z66" authorId="5" shapeId="0" xr:uid="{E0F652F6-2715-4390-993F-9791C924D5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income</t>
      </text>
    </comment>
    <comment ref="P87" authorId="6" shapeId="0" xr:uid="{8C27F5EC-67F8-4327-BCB0-A3032C5716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Retirement age suddenly increased for week 4</t>
      </text>
    </comment>
  </commentList>
</comments>
</file>

<file path=xl/sharedStrings.xml><?xml version="1.0" encoding="utf-8"?>
<sst xmlns="http://schemas.openxmlformats.org/spreadsheetml/2006/main" count="5378" uniqueCount="534">
  <si>
    <t>CUS_ID</t>
  </si>
  <si>
    <t>CUS_KEY_PARTY_ID</t>
  </si>
  <si>
    <t>CUS_KEY_CUST_NO</t>
  </si>
  <si>
    <t>CUS_FORNAME</t>
  </si>
  <si>
    <t>CUS_SURNAME</t>
  </si>
  <si>
    <t>CUS_NI_NO</t>
  </si>
  <si>
    <t>CUS_DOB</t>
  </si>
  <si>
    <t>CUS_SEX_CD</t>
  </si>
  <si>
    <t>CUS_OCCUP_CD</t>
  </si>
  <si>
    <t>CUS_LIFE_STATUS</t>
  </si>
  <si>
    <t>CUS_POSTCODE</t>
  </si>
  <si>
    <t>CUS_SMOKER_STAT</t>
  </si>
  <si>
    <t>CUS_DEATH_DATE</t>
  </si>
  <si>
    <t>CRL_KEY_POLICY_NO</t>
  </si>
  <si>
    <t>SCM_PROJ_RET_DT</t>
  </si>
  <si>
    <t>SCM_PROJ_RET_AGE</t>
  </si>
  <si>
    <t>SCM_SCH_LEAVE_DATE</t>
  </si>
  <si>
    <t>SCM_MEMBER_STATUS</t>
  </si>
  <si>
    <t>SCH_SCHEME_TYP</t>
  </si>
  <si>
    <t>SCH_RENEWAL_DT</t>
  </si>
  <si>
    <t>POLID_FREQ</t>
  </si>
  <si>
    <t>POLID_INCOME_TYPE</t>
  </si>
  <si>
    <t>POLID_PAYMENT_DAY</t>
  </si>
  <si>
    <t>POLI_GROSS_PMT</t>
  </si>
  <si>
    <t>POLI_TAX_PMT</t>
  </si>
  <si>
    <t>POLI_INCOME_PMT</t>
  </si>
  <si>
    <t>UNT_TRAN_AMT</t>
  </si>
  <si>
    <t>Sanjay</t>
  </si>
  <si>
    <t>Atherton</t>
  </si>
  <si>
    <t>BY909897C</t>
  </si>
  <si>
    <t>F</t>
  </si>
  <si>
    <t>IT</t>
  </si>
  <si>
    <t>ALV</t>
  </si>
  <si>
    <t>BT1 57A</t>
  </si>
  <si>
    <t>NSM</t>
  </si>
  <si>
    <t>PL-YR04-7043</t>
  </si>
  <si>
    <t>Closed</t>
  </si>
  <si>
    <t>Hybrid</t>
  </si>
  <si>
    <t>ADHOC</t>
  </si>
  <si>
    <t>FULL</t>
  </si>
  <si>
    <t>Harry</t>
  </si>
  <si>
    <t>Beaumont</t>
  </si>
  <si>
    <t>RO099618A</t>
  </si>
  <si>
    <t>M</t>
  </si>
  <si>
    <t>CEO</t>
  </si>
  <si>
    <t>G1 3SL</t>
  </si>
  <si>
    <t>PL-XK92-4537</t>
  </si>
  <si>
    <t>Active</t>
  </si>
  <si>
    <t>DC</t>
  </si>
  <si>
    <t>HALF_YEARLY</t>
  </si>
  <si>
    <t>Leo</t>
  </si>
  <si>
    <t>Caldwell</t>
  </si>
  <si>
    <t>GR570012A</t>
  </si>
  <si>
    <t>FIN</t>
  </si>
  <si>
    <t>L1 8JQ</t>
  </si>
  <si>
    <t>PL-JA35-1944</t>
  </si>
  <si>
    <t>REGULAR</t>
  </si>
  <si>
    <t>Arjun</t>
  </si>
  <si>
    <t>Donovan</t>
  </si>
  <si>
    <t>MG420703D</t>
  </si>
  <si>
    <t>MKT</t>
  </si>
  <si>
    <t>DEC</t>
  </si>
  <si>
    <t>W1D 4FA</t>
  </si>
  <si>
    <t>PL-ES46-6047</t>
  </si>
  <si>
    <t>DB</t>
  </si>
  <si>
    <t>MONTHLY</t>
  </si>
  <si>
    <t>BENEFICIARY</t>
  </si>
  <si>
    <t>Anjali</t>
  </si>
  <si>
    <t>Ellington</t>
  </si>
  <si>
    <t>RL303926C</t>
  </si>
  <si>
    <t>QA</t>
  </si>
  <si>
    <t>PL-MP91-5197</t>
  </si>
  <si>
    <t>William</t>
  </si>
  <si>
    <t>Faraday</t>
  </si>
  <si>
    <t>AG474077A</t>
  </si>
  <si>
    <t>SUP</t>
  </si>
  <si>
    <t>B33 8TH</t>
  </si>
  <si>
    <t>UNK</t>
  </si>
  <si>
    <t>PL-GY82-9545</t>
  </si>
  <si>
    <t>James</t>
  </si>
  <si>
    <t>Gallagher</t>
  </si>
  <si>
    <t>RZ226703D</t>
  </si>
  <si>
    <t>Y8 7IJ</t>
  </si>
  <si>
    <t>PL-LW20-5802</t>
  </si>
  <si>
    <t>Zoe</t>
  </si>
  <si>
    <t>Harrington</t>
  </si>
  <si>
    <t>SO661691D</t>
  </si>
  <si>
    <t>ADM</t>
  </si>
  <si>
    <t>M1 5AB</t>
  </si>
  <si>
    <t>PL-DU60-7964</t>
  </si>
  <si>
    <t>0549877811</t>
  </si>
  <si>
    <t>Sophie</t>
  </si>
  <si>
    <t>Ingleby</t>
  </si>
  <si>
    <t>ZC575162D</t>
  </si>
  <si>
    <t>B2 9DE</t>
  </si>
  <si>
    <t>SMK</t>
  </si>
  <si>
    <t>PL-RF29-1998</t>
  </si>
  <si>
    <t>Samuel</t>
  </si>
  <si>
    <t>Jameson</t>
  </si>
  <si>
    <t>CZ276764D</t>
  </si>
  <si>
    <t>S3 4FG</t>
  </si>
  <si>
    <t>PL-TL91-5049</t>
  </si>
  <si>
    <t>Corporate NPS</t>
  </si>
  <si>
    <t>YEARLY</t>
  </si>
  <si>
    <t>Ken</t>
  </si>
  <si>
    <t>Keating</t>
  </si>
  <si>
    <t>CG083644A</t>
  </si>
  <si>
    <t>G4 8HI</t>
  </si>
  <si>
    <t>PL-UJ20-3512</t>
  </si>
  <si>
    <t>Master Trust</t>
  </si>
  <si>
    <t>Emily</t>
  </si>
  <si>
    <t>Lancaster</t>
  </si>
  <si>
    <t>PL301887D</t>
  </si>
  <si>
    <t>DEV</t>
  </si>
  <si>
    <t>N5 1JK</t>
  </si>
  <si>
    <t>PL-RY81-2404</t>
  </si>
  <si>
    <t>John</t>
  </si>
  <si>
    <t>McKinley</t>
  </si>
  <si>
    <t>PB386196D</t>
  </si>
  <si>
    <t>P6 6LM</t>
  </si>
  <si>
    <t>PL-LU19-4176</t>
  </si>
  <si>
    <t>Sarah</t>
  </si>
  <si>
    <t>Nolan</t>
  </si>
  <si>
    <t>MN435842B</t>
  </si>
  <si>
    <t>EDU</t>
  </si>
  <si>
    <t>R7 2NO</t>
  </si>
  <si>
    <t>PL-SY90-9454</t>
  </si>
  <si>
    <t>31/11/1997</t>
  </si>
  <si>
    <t>Osbourne</t>
  </si>
  <si>
    <t>OB035089B</t>
  </si>
  <si>
    <t>OPS</t>
  </si>
  <si>
    <t>T8 7PQ</t>
  </si>
  <si>
    <t>PL-HU31-4805</t>
  </si>
  <si>
    <t>QUARTERLY</t>
  </si>
  <si>
    <t>Jessica</t>
  </si>
  <si>
    <t>Pendergast</t>
  </si>
  <si>
    <t>MS120067A</t>
  </si>
  <si>
    <t>SALES</t>
  </si>
  <si>
    <t>V9 3RS</t>
  </si>
  <si>
    <t>PL-YW58-7059</t>
  </si>
  <si>
    <t>0451647906</t>
  </si>
  <si>
    <t>Quigley</t>
  </si>
  <si>
    <t>JJ971475B</t>
  </si>
  <si>
    <t>CTO</t>
  </si>
  <si>
    <t>K10 1TU</t>
  </si>
  <si>
    <t>PL-BR13-3557</t>
  </si>
  <si>
    <t>Rutherford</t>
  </si>
  <si>
    <t>SY537995A</t>
  </si>
  <si>
    <t>ENG</t>
  </si>
  <si>
    <t>E1 5UV</t>
  </si>
  <si>
    <t>PL-BS18-6512</t>
  </si>
  <si>
    <t>30/02/2007</t>
  </si>
  <si>
    <t>Sterling</t>
  </si>
  <si>
    <t>NP873699C</t>
  </si>
  <si>
    <t>W2 9WX</t>
  </si>
  <si>
    <t>PL-OM03-2108</t>
  </si>
  <si>
    <t>Ruby</t>
  </si>
  <si>
    <t>Thackeray</t>
  </si>
  <si>
    <t>HH533479B</t>
  </si>
  <si>
    <t>H3 4YZ</t>
  </si>
  <si>
    <t>PL-PF94-4378</t>
  </si>
  <si>
    <t>Aarushi</t>
  </si>
  <si>
    <t>Underwood</t>
  </si>
  <si>
    <t>ZE209020D</t>
  </si>
  <si>
    <t>Z4 8ZA</t>
  </si>
  <si>
    <t>PL-BH41-3235</t>
  </si>
  <si>
    <t>George</t>
  </si>
  <si>
    <t>Vaughan</t>
  </si>
  <si>
    <t>KK264981B</t>
  </si>
  <si>
    <t>MGR</t>
  </si>
  <si>
    <t>D5 1BC</t>
  </si>
  <si>
    <t>PL-IS73-7679</t>
  </si>
  <si>
    <t>Hannah</t>
  </si>
  <si>
    <t>Whittaker</t>
  </si>
  <si>
    <t>PH825230C</t>
  </si>
  <si>
    <t>F6 6EF</t>
  </si>
  <si>
    <t>PL-JX17-7686</t>
  </si>
  <si>
    <t>Yardley</t>
  </si>
  <si>
    <t>PK396657B</t>
  </si>
  <si>
    <t>J7 2GH</t>
  </si>
  <si>
    <t>PL-WE58-4773</t>
  </si>
  <si>
    <t>Salary Sacrifice</t>
  </si>
  <si>
    <t>Zimmerman</t>
  </si>
  <si>
    <t>OC037359C</t>
  </si>
  <si>
    <t>PL-KZ01-2589</t>
  </si>
  <si>
    <t>Alice</t>
  </si>
  <si>
    <t>Alistair</t>
  </si>
  <si>
    <t>PJ701568A</t>
  </si>
  <si>
    <t>U9 3KL</t>
  </si>
  <si>
    <t>PL-EI63-9399</t>
  </si>
  <si>
    <t>Blackwood</t>
  </si>
  <si>
    <t>SH312218B</t>
  </si>
  <si>
    <t>OTHERS</t>
  </si>
  <si>
    <t>O10 1MN</t>
  </si>
  <si>
    <t>PL-WR60-1790</t>
  </si>
  <si>
    <t>Carmichael</t>
  </si>
  <si>
    <t>LM324417C</t>
  </si>
  <si>
    <t>PO1 5OP</t>
  </si>
  <si>
    <t>PL-WE53-6063</t>
  </si>
  <si>
    <t>Amit</t>
  </si>
  <si>
    <t>Delaney</t>
  </si>
  <si>
    <t>EG496692A</t>
  </si>
  <si>
    <t>SO2 9QR</t>
  </si>
  <si>
    <t>PL-XN53-9765</t>
  </si>
  <si>
    <t>Endicott</t>
  </si>
  <si>
    <t>XG097177C</t>
  </si>
  <si>
    <t>CM3 4ST</t>
  </si>
  <si>
    <t>PL-KM89-8180</t>
  </si>
  <si>
    <t>Simran</t>
  </si>
  <si>
    <t>Fitzwilliam</t>
  </si>
  <si>
    <t>OW729564A</t>
  </si>
  <si>
    <t>LS4 8UV</t>
  </si>
  <si>
    <t>PL-OJ18-8125</t>
  </si>
  <si>
    <t>Grace</t>
  </si>
  <si>
    <t>Grantham</t>
  </si>
  <si>
    <t>OK227506D</t>
  </si>
  <si>
    <t>HU5 1WX</t>
  </si>
  <si>
    <t>PL-XU20-3768</t>
  </si>
  <si>
    <t>Hollis</t>
  </si>
  <si>
    <t>PH464567B</t>
  </si>
  <si>
    <t>NE6 2QZ</t>
  </si>
  <si>
    <t>PL-HI80-0815</t>
  </si>
  <si>
    <t>Chloe</t>
  </si>
  <si>
    <t>Iverson</t>
  </si>
  <si>
    <t>KZ715362C</t>
  </si>
  <si>
    <t>SR1 6BT</t>
  </si>
  <si>
    <t>PL-HT82-5752</t>
  </si>
  <si>
    <t>0157635575</t>
  </si>
  <si>
    <t>Liam</t>
  </si>
  <si>
    <t>Kendrick</t>
  </si>
  <si>
    <t>EE487323A</t>
  </si>
  <si>
    <t>CA2 1DF</t>
  </si>
  <si>
    <t>PL-UF12-8859</t>
  </si>
  <si>
    <t>Aisha</t>
  </si>
  <si>
    <t>Lachlan</t>
  </si>
  <si>
    <t>AB302056A</t>
  </si>
  <si>
    <t>CFO</t>
  </si>
  <si>
    <t>DN3 7GH</t>
  </si>
  <si>
    <t>PL-VA28-2755</t>
  </si>
  <si>
    <t>Montclair</t>
  </si>
  <si>
    <t>YC768541A</t>
  </si>
  <si>
    <t>HD4 3JK</t>
  </si>
  <si>
    <t>PL-SB20-0425</t>
  </si>
  <si>
    <t>Ethan</t>
  </si>
  <si>
    <t>Nevins</t>
  </si>
  <si>
    <t>RN285820B</t>
  </si>
  <si>
    <t>FY5 8LM</t>
  </si>
  <si>
    <t>PL-LP22-0181</t>
  </si>
  <si>
    <t>0800155869</t>
  </si>
  <si>
    <t>O'Malley</t>
  </si>
  <si>
    <t>TC005033A</t>
  </si>
  <si>
    <t>IP6 5NO</t>
  </si>
  <si>
    <t>PL-GA86-7967</t>
  </si>
  <si>
    <t>Isaac</t>
  </si>
  <si>
    <t>Pembroke</t>
  </si>
  <si>
    <t>WS167484A</t>
  </si>
  <si>
    <t>BR7 9PQ</t>
  </si>
  <si>
    <t>PL-ZD17-5547</t>
  </si>
  <si>
    <t>Radcliffe</t>
  </si>
  <si>
    <t>RA995922D</t>
  </si>
  <si>
    <t>MED</t>
  </si>
  <si>
    <t>KT8 2RS</t>
  </si>
  <si>
    <t>PL-YW74-6600</t>
  </si>
  <si>
    <t>Sinclair</t>
  </si>
  <si>
    <t>OK210195D</t>
  </si>
  <si>
    <t>UB9 4TU</t>
  </si>
  <si>
    <t>PL-ZM38-6441</t>
  </si>
  <si>
    <t>Jack</t>
  </si>
  <si>
    <t>Talbot</t>
  </si>
  <si>
    <t>EA543136A</t>
  </si>
  <si>
    <t>HA0 7UV</t>
  </si>
  <si>
    <t>PL-EG76-8939</t>
  </si>
  <si>
    <t>Rohan</t>
  </si>
  <si>
    <t>Valente</t>
  </si>
  <si>
    <t>HX562951A</t>
  </si>
  <si>
    <t>IG1 3WX</t>
  </si>
  <si>
    <t>PL-OM36-9781</t>
  </si>
  <si>
    <t>Westbrook</t>
  </si>
  <si>
    <t>AS057285A</t>
  </si>
  <si>
    <t>HR</t>
  </si>
  <si>
    <t>RM2 8YZ</t>
  </si>
  <si>
    <t>PL-ZG35-6611</t>
  </si>
  <si>
    <t>Rahul</t>
  </si>
  <si>
    <t>Ashworth</t>
  </si>
  <si>
    <t>AO187988C</t>
  </si>
  <si>
    <t>SM3 1ZA</t>
  </si>
  <si>
    <t>PL-EB10-4259</t>
  </si>
  <si>
    <t>Olivia</t>
  </si>
  <si>
    <t>Baines</t>
  </si>
  <si>
    <t>BY574160C</t>
  </si>
  <si>
    <t>TN4 6BC</t>
  </si>
  <si>
    <t>PL-GP71-7315</t>
  </si>
  <si>
    <t>DA5 3EF</t>
  </si>
  <si>
    <t>PL-LJ43-8211</t>
  </si>
  <si>
    <t>Doherty</t>
  </si>
  <si>
    <t>XS319472D</t>
  </si>
  <si>
    <t>ME6 7GH</t>
  </si>
  <si>
    <t>PL-ME16-6404</t>
  </si>
  <si>
    <t>Erskine</t>
  </si>
  <si>
    <t>BM661512C</t>
  </si>
  <si>
    <t>SS7 9IJ</t>
  </si>
  <si>
    <t>PL-DV65-4898</t>
  </si>
  <si>
    <t>Finch</t>
  </si>
  <si>
    <t>YG328211C</t>
  </si>
  <si>
    <t>CM8 2KL</t>
  </si>
  <si>
    <t>PL-CN95-0630</t>
  </si>
  <si>
    <t>31/06/1973</t>
  </si>
  <si>
    <t>Girard</t>
  </si>
  <si>
    <t>LY956878C</t>
  </si>
  <si>
    <t>CO9 4MN</t>
  </si>
  <si>
    <t>PL-YG22-8951</t>
  </si>
  <si>
    <t>Kiran</t>
  </si>
  <si>
    <t>Hartman</t>
  </si>
  <si>
    <t>EP348720B</t>
  </si>
  <si>
    <t>TS10 7OP</t>
  </si>
  <si>
    <t>PL-JO75-5169</t>
  </si>
  <si>
    <t>Tara</t>
  </si>
  <si>
    <t>Jensen</t>
  </si>
  <si>
    <t>MO340121A</t>
  </si>
  <si>
    <t>WA11 3QR</t>
  </si>
  <si>
    <t>PL-WS74-4819</t>
  </si>
  <si>
    <t>Kincaid</t>
  </si>
  <si>
    <t>RL552179D</t>
  </si>
  <si>
    <t>BB12 8ST</t>
  </si>
  <si>
    <t>PL-KJ13-7359</t>
  </si>
  <si>
    <t>Lennox</t>
  </si>
  <si>
    <t>TT835401C</t>
  </si>
  <si>
    <t>BD13 1UV</t>
  </si>
  <si>
    <t>PL-MP37-5890</t>
  </si>
  <si>
    <t>McBride</t>
  </si>
  <si>
    <t>EC244370C</t>
  </si>
  <si>
    <t>CONS</t>
  </si>
  <si>
    <t>DD14 5WX</t>
  </si>
  <si>
    <t>PL-YR73-0517</t>
  </si>
  <si>
    <t>Nicholls</t>
  </si>
  <si>
    <t>MG686181A</t>
  </si>
  <si>
    <t>G3 7WL</t>
  </si>
  <si>
    <t>PL-CG82-6046</t>
  </si>
  <si>
    <t>Oakley</t>
  </si>
  <si>
    <t>RP912979C</t>
  </si>
  <si>
    <t>S2B 1RP</t>
  </si>
  <si>
    <t>PL-FA55-3877</t>
  </si>
  <si>
    <t>Prescott</t>
  </si>
  <si>
    <t>TY453040C</t>
  </si>
  <si>
    <t>TR1 5SA</t>
  </si>
  <si>
    <t>PL-LN64-4571</t>
  </si>
  <si>
    <t>Redmond</t>
  </si>
  <si>
    <t>JT105103D</t>
  </si>
  <si>
    <t>RG5 8UK</t>
  </si>
  <si>
    <t>PL-MP36-4971</t>
  </si>
  <si>
    <t>Sloan</t>
  </si>
  <si>
    <t>LZ768744A</t>
  </si>
  <si>
    <t>OX4 2NM</t>
  </si>
  <si>
    <t>PL-RA45-3890</t>
  </si>
  <si>
    <t>Tierney</t>
  </si>
  <si>
    <t>YB013255C</t>
  </si>
  <si>
    <t>PE1 6RS</t>
  </si>
  <si>
    <t>PL-EZ13-3634</t>
  </si>
  <si>
    <t>Vance</t>
  </si>
  <si>
    <t>CS644901B</t>
  </si>
  <si>
    <t>LE2 3TY</t>
  </si>
  <si>
    <t>PL-OR20-9561</t>
  </si>
  <si>
    <t>0215744170</t>
  </si>
  <si>
    <t>Aarav</t>
  </si>
  <si>
    <t>Wainwright</t>
  </si>
  <si>
    <t>KC005608A</t>
  </si>
  <si>
    <t>MK3 7AB</t>
  </si>
  <si>
    <t>PL-KJ11-5040</t>
  </si>
  <si>
    <t>0020040297</t>
  </si>
  <si>
    <t>Abernathy</t>
  </si>
  <si>
    <t>TP532979D</t>
  </si>
  <si>
    <t>NN4 5DE</t>
  </si>
  <si>
    <t>PL-TY64-7742</t>
  </si>
  <si>
    <t>Bellamy</t>
  </si>
  <si>
    <t>NJ290905D</t>
  </si>
  <si>
    <t>AL5 9FG</t>
  </si>
  <si>
    <t>PL-UV31-7558</t>
  </si>
  <si>
    <t>Corbin</t>
  </si>
  <si>
    <t>EA195887D</t>
  </si>
  <si>
    <t>24/10/1812</t>
  </si>
  <si>
    <t>HP6 1HI</t>
  </si>
  <si>
    <t>PL-ZU38-9760</t>
  </si>
  <si>
    <t>31/11/1983</t>
  </si>
  <si>
    <t>Dubois</t>
  </si>
  <si>
    <t>TN674896C</t>
  </si>
  <si>
    <t>SG7 4JK</t>
  </si>
  <si>
    <t>PL-FH87-6953</t>
  </si>
  <si>
    <t>Eames</t>
  </si>
  <si>
    <t>CT137195B</t>
  </si>
  <si>
    <t>CB8 8LM</t>
  </si>
  <si>
    <t>PL-AO71-0539</t>
  </si>
  <si>
    <t>Friel</t>
  </si>
  <si>
    <t>ET359771D</t>
  </si>
  <si>
    <t>NR9 5NO</t>
  </si>
  <si>
    <t>PL-TI88-4055</t>
  </si>
  <si>
    <t>31/04/2025</t>
  </si>
  <si>
    <t>Golding</t>
  </si>
  <si>
    <t>RC191687C</t>
  </si>
  <si>
    <t>NG1A 2PQ</t>
  </si>
  <si>
    <t>PL-PR94-2314</t>
  </si>
  <si>
    <t>Holloway</t>
  </si>
  <si>
    <t>KK385717D</t>
  </si>
  <si>
    <t>BH3 6RS</t>
  </si>
  <si>
    <t>PL-DK11-6034</t>
  </si>
  <si>
    <t>Lily</t>
  </si>
  <si>
    <t>Ingram</t>
  </si>
  <si>
    <t>CG556972A</t>
  </si>
  <si>
    <t>DIR</t>
  </si>
  <si>
    <t>DT4 7TU</t>
  </si>
  <si>
    <t>PL-FG19-0505</t>
  </si>
  <si>
    <t>Judson</t>
  </si>
  <si>
    <t>BJ521563B</t>
  </si>
  <si>
    <t>EX5 3UV</t>
  </si>
  <si>
    <t>PL-JG38-7535</t>
  </si>
  <si>
    <t>31/04/2021</t>
  </si>
  <si>
    <t>Meera</t>
  </si>
  <si>
    <t>Kovacs</t>
  </si>
  <si>
    <t>JX201185C</t>
  </si>
  <si>
    <t>TA6 8WX</t>
  </si>
  <si>
    <t>PL-TK25-0431</t>
  </si>
  <si>
    <t>31/11/2022</t>
  </si>
  <si>
    <t>Ben</t>
  </si>
  <si>
    <t>Laurent</t>
  </si>
  <si>
    <t>BM560534A</t>
  </si>
  <si>
    <t>BA1 1YZ</t>
  </si>
  <si>
    <t>PL-MJ68-1859</t>
  </si>
  <si>
    <t>Daniel</t>
  </si>
  <si>
    <t>Mercer</t>
  </si>
  <si>
    <t>CZ089163D</t>
  </si>
  <si>
    <t>SN2 5ZA</t>
  </si>
  <si>
    <t>PL-OA76-7225</t>
  </si>
  <si>
    <t>Norgaard</t>
  </si>
  <si>
    <t>CC221701B</t>
  </si>
  <si>
    <t>CF1B 9BC</t>
  </si>
  <si>
    <t>PL-SW33-8559</t>
  </si>
  <si>
    <t>Mary</t>
  </si>
  <si>
    <t>O'Connell</t>
  </si>
  <si>
    <t>RX257421C</t>
  </si>
  <si>
    <t>SA3 2DE</t>
  </si>
  <si>
    <t>PL-NL32-3423</t>
  </si>
  <si>
    <t>Neha</t>
  </si>
  <si>
    <t>Pierce</t>
  </si>
  <si>
    <t>JB380199A</t>
  </si>
  <si>
    <t>PL4 6EF</t>
  </si>
  <si>
    <t>PL-CI93-1052</t>
  </si>
  <si>
    <t>Ramsey</t>
  </si>
  <si>
    <t>YA694069B</t>
  </si>
  <si>
    <t>TR6A 7GH</t>
  </si>
  <si>
    <t>PL-NT18-2577</t>
  </si>
  <si>
    <t>Shaw</t>
  </si>
  <si>
    <t>CC383990D</t>
  </si>
  <si>
    <t>DL5 4XJ</t>
  </si>
  <si>
    <t>PL-GN80-8167</t>
  </si>
  <si>
    <t>Sutton</t>
  </si>
  <si>
    <t>HY573485C</t>
  </si>
  <si>
    <t>GL1A 9TH</t>
  </si>
  <si>
    <t>PL-PG88-7978</t>
  </si>
  <si>
    <t>0690532356</t>
  </si>
  <si>
    <t>Trimble</t>
  </si>
  <si>
    <t>XB148033C</t>
  </si>
  <si>
    <t>RH10 3YF</t>
  </si>
  <si>
    <t>PL-MT25-1382</t>
  </si>
  <si>
    <t>31/04/1974</t>
  </si>
  <si>
    <t>David</t>
  </si>
  <si>
    <t>Updike</t>
  </si>
  <si>
    <t>ZY217241B</t>
  </si>
  <si>
    <t>TS2 4PL</t>
  </si>
  <si>
    <t>PL-QW40-7954</t>
  </si>
  <si>
    <t>Vernon</t>
  </si>
  <si>
    <t>GM994646A</t>
  </si>
  <si>
    <t>CV1 7GS</t>
  </si>
  <si>
    <t>PL-UQ65-6774</t>
  </si>
  <si>
    <t>0607681953</t>
  </si>
  <si>
    <t>Wellington</t>
  </si>
  <si>
    <t>YB960188B</t>
  </si>
  <si>
    <t>CH4A 6DF</t>
  </si>
  <si>
    <t>PL-KK12-0450</t>
  </si>
  <si>
    <t>0935999833</t>
  </si>
  <si>
    <t>Henry</t>
  </si>
  <si>
    <t>Xavier</t>
  </si>
  <si>
    <t>SP056752B</t>
  </si>
  <si>
    <t>PR8 1LM</t>
  </si>
  <si>
    <t>PL-KA94-0641</t>
  </si>
  <si>
    <t>30/02/1995</t>
  </si>
  <si>
    <t>0676183852</t>
  </si>
  <si>
    <t>Yarrow</t>
  </si>
  <si>
    <t>GN775130A</t>
  </si>
  <si>
    <t>WV1B 9NO</t>
  </si>
  <si>
    <t>PL-PE62-6924</t>
  </si>
  <si>
    <t>Zahn</t>
  </si>
  <si>
    <t>YR908535D</t>
  </si>
  <si>
    <t>DD6 2PQ</t>
  </si>
  <si>
    <t>PL-MM52-2201</t>
  </si>
  <si>
    <t>Adair</t>
  </si>
  <si>
    <t>PA370856A</t>
  </si>
  <si>
    <t>FK7 5RS</t>
  </si>
  <si>
    <t>PL-OB24-0338</t>
  </si>
  <si>
    <t>Beesley</t>
  </si>
  <si>
    <t>KN177306A</t>
  </si>
  <si>
    <t>AB8 3TU</t>
  </si>
  <si>
    <t>PL-SO11-5813</t>
  </si>
  <si>
    <t>Costello</t>
  </si>
  <si>
    <t>WJ789610D</t>
  </si>
  <si>
    <t>IV12 4UV</t>
  </si>
  <si>
    <t>PL-MS35-1181</t>
  </si>
  <si>
    <t>Dillon</t>
  </si>
  <si>
    <t>SC576853A</t>
  </si>
  <si>
    <t>PA14 8WX</t>
  </si>
  <si>
    <t>PL-VG59-1130</t>
  </si>
  <si>
    <t>Eklund</t>
  </si>
  <si>
    <t>WG477692A</t>
  </si>
  <si>
    <t>ZE1 7YZ</t>
  </si>
  <si>
    <t>PL-GN16-9336</t>
  </si>
  <si>
    <t>Flanagan</t>
  </si>
  <si>
    <t>MJ836737C</t>
  </si>
  <si>
    <t>PH16 1ZA</t>
  </si>
  <si>
    <t>PL-CO91-4732</t>
  </si>
  <si>
    <t>Graham</t>
  </si>
  <si>
    <t>CP165615B</t>
  </si>
  <si>
    <t>TD10 5BC</t>
  </si>
  <si>
    <t>PL-PM66-6331</t>
  </si>
  <si>
    <t>Hinton</t>
  </si>
  <si>
    <t>NB550650D</t>
  </si>
  <si>
    <t>LAW</t>
  </si>
  <si>
    <t>HS2 9DE</t>
  </si>
  <si>
    <t>PL-KI86-3916</t>
  </si>
  <si>
    <t>Jeffries</t>
  </si>
  <si>
    <t>BZ281135D</t>
  </si>
  <si>
    <t>KW14 4FG</t>
  </si>
  <si>
    <t>PL-AZ51-1203</t>
  </si>
  <si>
    <t>31/02/1963</t>
  </si>
  <si>
    <t>Smith</t>
  </si>
  <si>
    <t>PL-TS22-0241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</si>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</sst>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quotePrefix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ltmer, Terri (IP&amp;I Data CoE )" id="{69346AEE-1739-4A37-97AE-7E2CF46A8FFA}" userId="S::Terri-Ann.Saltmer@lloydsbanking.com::379a629d-4094-47f5-8577-9d6011a567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6" dT="2025-12-05T15:57:33.61" personId="{69346AEE-1739-4A37-97AE-7E2CF46A8FFA}" id="{D0964AA7-7E13-46CE-97CC-EC8FB11B9A86}">
    <text>Missing postcode</text>
  </threadedComment>
  <threadedComment ref="K7" dT="2025-12-05T15:57:23.82" personId="{69346AEE-1739-4A37-97AE-7E2CF46A8FFA}" id="{60C0408C-219B-43B2-9B50-9E6CB77AB896}">
    <text>Repeat Postcode</text>
  </threadedComment>
  <threadedComment ref="Z7" dT="2025-12-05T16:01:27.89" personId="{69346AEE-1739-4A37-97AE-7E2CF46A8FFA}" id="{8999ED4D-6ADA-4494-9A32-31FB0CC4A9BF}">
    <text>Income doesn’t work out with Gross-Tax</text>
  </threadedComment>
  <threadedComment ref="O8" dT="2025-12-05T15:59:30.43" personId="{69346AEE-1739-4A37-97AE-7E2CF46A8FFA}" id="{A3EAC8C3-B8C4-4157-8519-7893D0A29307}">
    <text>Incorrect Projected retirement data according to DOB and retirement age</text>
  </threadedComment>
  <threadedComment ref="G10" dT="2025-12-05T15:54:14.09" personId="{69346AEE-1739-4A37-97AE-7E2CF46A8FFA}" id="{43765D56-1B9C-4001-A58C-B0A2E4F04F0A}">
    <text>Missing DOB</text>
  </threadedComment>
  <threadedComment ref="G23" dT="2025-12-05T15:55:40.41" personId="{69346AEE-1739-4A37-97AE-7E2CF46A8FFA}" id="{7D851647-EFF2-446F-941A-95921AA8DFDF}">
    <text>DOB in the future</text>
  </threadedComment>
  <threadedComment ref="Q24" dT="2025-12-05T15:59:53.23" personId="{69346AEE-1739-4A37-97AE-7E2CF46A8FFA}" id="{0F899AC0-83B9-41CB-8A00-C9B06DDB8DB7}">
    <text>No date for closed status</text>
  </threadedComment>
  <threadedComment ref="R24" dT="2025-12-05T16:00:01.65" personId="{69346AEE-1739-4A37-97AE-7E2CF46A8FFA}" id="{3D042A1F-8A9B-49D7-952F-34C44B740810}">
    <text>No date for closed status</text>
  </threadedComment>
  <threadedComment ref="AA24" dT="2025-12-05T16:02:08.73" personId="{69346AEE-1739-4A37-97AE-7E2CF46A8FFA}" id="{50ABDDCB-F7C6-449E-81E8-A6E808B08DE5}">
    <text>Units+Inciome</text>
  </threadedComment>
  <threadedComment ref="K26" dT="2025-12-05T15:57:26.86" personId="{69346AEE-1739-4A37-97AE-7E2CF46A8FFA}" id="{6EC07CD5-684B-41CC-AD8F-212C210B2378}">
    <text>Repeat Postcode</text>
  </threadedComment>
  <threadedComment ref="Z26" dT="2025-12-05T16:01:50.15" personId="{69346AEE-1739-4A37-97AE-7E2CF46A8FFA}" id="{F94B02BE-948B-43D3-99D8-1CDC791EC6A6}">
    <text>Income+units</text>
  </threadedComment>
  <threadedComment ref="G37" dT="2025-12-05T15:55:52.49" personId="{69346AEE-1739-4A37-97AE-7E2CF46A8FFA}" id="{A84DB606-6475-43A4-8248-77A5F9B72EA1}">
    <text>Missing DOB</text>
  </threadedComment>
  <threadedComment ref="D49" dT="2025-12-05T15:56:37.78" personId="{69346AEE-1739-4A37-97AE-7E2CF46A8FFA}" id="{33EFC499-0A7F-4CE8-9CC7-F2EB0B97803C}">
    <text>Repeat name, NINO and DOB</text>
  </threadedComment>
  <threadedComment ref="E49" dT="2025-12-05T15:56:46.72" personId="{69346AEE-1739-4A37-97AE-7E2CF46A8FFA}" id="{4F3CFC3D-1AE0-4D42-B51C-76E90ABB04D1}">
    <text>Repeat name, NINO and DOB</text>
  </threadedComment>
  <threadedComment ref="F49" dT="2025-12-05T15:56:51.34" personId="{69346AEE-1739-4A37-97AE-7E2CF46A8FFA}" id="{1B1B5A4E-7AD7-418E-8691-42B1A28EBB37}">
    <text>Repeat name, NINO and DOB</text>
  </threadedComment>
  <threadedComment ref="G49" dT="2025-12-05T15:56:55.71" personId="{69346AEE-1739-4A37-97AE-7E2CF46A8FFA}" id="{716AA3DE-1837-49C6-A025-BA7DB3BEBCB2}">
    <text>Repeat name, NINO and DOB</text>
  </threadedComment>
  <threadedComment ref="G69" dT="2025-12-05T15:57:07.83" personId="{69346AEE-1739-4A37-97AE-7E2CF46A8FFA}" id="{B0C162D2-7B5E-417E-9359-9FD2CCB7E4C1}">
    <text>DOB too far in the past</text>
  </threadedComment>
  <threadedComment ref="J90" dT="2025-12-05T15:58:16.54" personId="{69346AEE-1739-4A37-97AE-7E2CF46A8FFA}" id="{CB60C01A-1353-4BBE-823B-6630DFEDEDB3}">
    <text>Death date for an ALIV person</text>
  </threadedComment>
  <threadedComment ref="M90" dT="2025-12-05T15:57:54.79" personId="{69346AEE-1739-4A37-97AE-7E2CF46A8FFA}" id="{CED978AE-7927-40EF-88D6-25A4BF862CF2}">
    <text>Death date for an ALIV person</text>
  </threadedComment>
  <threadedComment ref="Q96" dT="2025-12-05T16:00:28.49" personId="{69346AEE-1739-4A37-97AE-7E2CF46A8FFA}" id="{BB60A9E5-D035-440F-A830-EF88E33E6FBE}">
    <text>Date or an active member</text>
  </threadedComment>
  <threadedComment ref="R96" dT="2025-12-05T16:00:39.11" personId="{69346AEE-1739-4A37-97AE-7E2CF46A8FFA}" id="{CFB28BDA-EF6E-4707-93A0-7746AC793F48}">
    <text>Date or an active member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A1" dT="2025-12-05T16:03:42.26" personId="{69346AEE-1739-4A37-97AE-7E2CF46A8FFA}" id="{B78A5227-280A-4D78-A950-4671CAB365D2}">
    <text>Units*2 for all customers</text>
  </threadedComment>
  <threadedComment ref="C12" dT="2025-12-05T16:02:53.03" personId="{69346AEE-1739-4A37-97AE-7E2CF46A8FFA}" id="{67141169-D878-427C-9C72-9901A9D7EB84}">
    <text>Customer number changed from week 1</text>
  </threadedComment>
  <threadedComment ref="E31" dT="2025-12-05T16:03:14.51" personId="{69346AEE-1739-4A37-97AE-7E2CF46A8FFA}" id="{E78BA4E6-3209-47DE-98DE-3D944DF1EDDB}">
    <text>Surname changed only for Week 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2" dT="2025-12-05T16:07:38.97" personId="{69346AEE-1739-4A37-97AE-7E2CF46A8FFA}" id="{46DCEBAC-DB03-4EC2-A2AA-28576177AFEA}">
    <text>Tax too low</text>
  </threadedComment>
  <threadedComment ref="Y65" dT="2025-12-05T16:06:53.56" personId="{69346AEE-1739-4A37-97AE-7E2CF46A8FFA}" id="{D57D75F9-57DC-4CA2-8DBA-1B064464B1D7}">
    <text>Tax too high, extra £1000</text>
  </threadedComment>
  <threadedComment ref="N77" dT="2025-12-05T16:04:40.50" personId="{69346AEE-1739-4A37-97AE-7E2CF46A8FFA}" id="{55EC4710-7B8C-4D82-B659-CF6D49A7F19D}">
    <text>Policy number changed for week 3</text>
  </threadedComment>
  <threadedComment ref="U88" dT="2025-12-05T16:05:44.31" personId="{69346AEE-1739-4A37-97AE-7E2CF46A8FFA}" id="{19AD08EA-B82A-464E-8A61-4EB12CF24CDD}">
    <text>Frequency changed from monthly/yearly-&gt;quarterly for week 3</text>
  </threadedComment>
  <threadedComment ref="D95" dT="2025-12-05T16:04:16.85" personId="{69346AEE-1739-4A37-97AE-7E2CF46A8FFA}" id="{4072CADA-68A8-4FB9-AEAC-8BED813A627F}">
    <text>First name changed only for week 3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Y1" dT="2025-12-05T16:11:37.04" personId="{69346AEE-1739-4A37-97AE-7E2CF46A8FFA}" id="{7EED12B6-381E-4D67-8486-AB91088C094B}">
    <text>Tax increase from 20% in week 1,2,3 to 25% in week 4</text>
  </threadedComment>
  <threadedComment ref="X16" dT="2025-12-05T16:12:05.27" personId="{69346AEE-1739-4A37-97AE-7E2CF46A8FFA}" id="{BB9DB1EF-F33E-4A50-A51D-F66F4F4F4560}">
    <text>Gross being a sum of 3 customers below</text>
  </threadedComment>
  <threadedComment ref="Z16" dT="2025-12-05T16:12:27.44" personId="{69346AEE-1739-4A37-97AE-7E2CF46A8FFA}" id="{1920720D-79F9-4F36-A796-725557DDE2A7}">
    <text>Income incorrect as gross being a sum of 3 customers below</text>
  </threadedComment>
  <threadedComment ref="P43" dT="2025-12-05T16:10:58.97" personId="{69346AEE-1739-4A37-97AE-7E2CF46A8FFA}" id="{4028CA3A-F1BC-4602-9C69-4236CB75DBB4}">
    <text>Retirement age suddenly increased for week 4</text>
  </threadedComment>
  <threadedComment ref="X66" dT="2025-12-05T16:12:38.45" personId="{69346AEE-1739-4A37-97AE-7E2CF46A8FFA}" id="{29480FD7-C509-4286-B94A-C278A82F1E86}">
    <text>No gross</text>
  </threadedComment>
  <threadedComment ref="Z66" dT="2025-12-05T16:12:46.26" personId="{69346AEE-1739-4A37-97AE-7E2CF46A8FFA}" id="{E0F652F6-2715-4390-993F-9791C924D505}">
    <text>No income</text>
  </threadedComment>
  <threadedComment ref="P87" dT="2025-12-05T16:11:04.03" personId="{69346AEE-1739-4A37-97AE-7E2CF46A8FFA}" id="{8C27F5EC-67F8-4327-BCB0-A3032C571624}">
    <text>Retirement age suddenly increased for week 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1182-CAA9-42D5-9FF3-B66BC3E85F03}">
  <dimension ref="A1:TW426"/>
  <sheetViews>
    <sheetView zoomScale="115" zoomScaleNormal="115" workbookViewId="0">
      <selection activeCell="C7" sqref="C7"/>
    </sheetView>
  </sheetViews>
  <sheetFormatPr defaultRowHeight="15"/>
  <cols>
    <col min="2" max="2" width="19.140625" customWidth="1"/>
    <col min="3" max="3" width="20.5703125" customWidth="1"/>
    <col min="4" max="4" width="17" customWidth="1"/>
    <col min="5" max="5" width="19.140625" customWidth="1"/>
    <col min="6" max="6" width="19.7109375" customWidth="1"/>
    <col min="7" max="7" width="14.140625" customWidth="1"/>
    <col min="8" max="8" width="14.28515625" customWidth="1"/>
    <col min="9" max="9" width="16.28515625" customWidth="1"/>
    <col min="10" max="10" width="20.140625" customWidth="1"/>
    <col min="11" max="11" width="17.140625" customWidth="1"/>
    <col min="12" max="12" width="19.42578125" customWidth="1"/>
    <col min="13" max="13" width="18.5703125" customWidth="1"/>
    <col min="14" max="14" width="20" customWidth="1"/>
    <col min="15" max="15" width="20.42578125" customWidth="1"/>
    <col min="16" max="16" width="22.140625" customWidth="1"/>
    <col min="17" max="17" width="25.5703125" customWidth="1"/>
    <col min="18" max="18" width="23.5703125" customWidth="1"/>
    <col min="19" max="19" width="20" customWidth="1"/>
    <col min="20" max="20" width="22.42578125" customWidth="1"/>
    <col min="22" max="22" width="20.140625" bestFit="1" customWidth="1"/>
    <col min="23" max="23" width="21.7109375" customWidth="1"/>
    <col min="24" max="24" width="19.28515625" style="1" customWidth="1"/>
    <col min="25" max="25" width="17.5703125" style="1" customWidth="1"/>
    <col min="26" max="26" width="19.28515625" style="1" customWidth="1"/>
    <col min="27" max="27" width="17.28515625" customWidth="1"/>
    <col min="36" max="36" width="12.85546875" customWidth="1"/>
    <col min="37" max="37" width="15.85546875" customWidth="1"/>
    <col min="39" max="39" width="18.85546875" customWidth="1"/>
    <col min="41" max="41" width="25.5703125" customWidth="1"/>
    <col min="48" max="48" width="17.28515625" customWidth="1"/>
    <col min="53" max="53" width="20.7109375" bestFit="1" customWidth="1"/>
    <col min="54" max="54" width="20.28515625" bestFit="1" customWidth="1"/>
    <col min="55" max="55" width="16" bestFit="1" customWidth="1"/>
    <col min="56" max="56" width="16.5703125" bestFit="1" customWidth="1"/>
    <col min="57" max="57" width="16.28515625" bestFit="1" customWidth="1"/>
    <col min="58" max="58" width="16.85546875" bestFit="1" customWidth="1"/>
    <col min="69" max="69" width="21.28515625" customWidth="1"/>
    <col min="102" max="102" width="22.42578125" customWidth="1"/>
    <col min="145" max="145" width="20.85546875" bestFit="1" customWidth="1"/>
    <col min="146" max="146" width="22" bestFit="1" customWidth="1"/>
    <col min="148" max="148" width="23.85546875" bestFit="1" customWidth="1"/>
    <col min="149" max="149" width="22" bestFit="1" customWidth="1"/>
    <col min="150" max="150" width="18.5703125" bestFit="1" customWidth="1"/>
    <col min="151" max="151" width="23" bestFit="1" customWidth="1"/>
    <col min="210" max="210" width="18.140625" customWidth="1"/>
    <col min="286" max="286" width="12.85546875" customWidth="1"/>
    <col min="287" max="287" width="19.42578125" customWidth="1"/>
    <col min="290" max="290" width="17.140625" customWidth="1"/>
    <col min="292" max="292" width="18.5703125" customWidth="1"/>
    <col min="295" max="295" width="15.140625" customWidth="1"/>
    <col min="296" max="296" width="17.5703125" customWidth="1"/>
    <col min="306" max="306" width="17" customWidth="1"/>
  </cols>
  <sheetData>
    <row r="1" spans="1:5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t="s">
        <v>26</v>
      </c>
    </row>
    <row r="2" spans="1:543">
      <c r="A2">
        <v>8438</v>
      </c>
      <c r="B2">
        <v>7386</v>
      </c>
      <c r="C2">
        <v>3157669706</v>
      </c>
      <c r="D2" t="s">
        <v>27</v>
      </c>
      <c r="E2" t="s">
        <v>28</v>
      </c>
      <c r="F2" t="s">
        <v>29</v>
      </c>
      <c r="G2" s="2">
        <v>22154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2"/>
      <c r="N2" t="s">
        <v>35</v>
      </c>
      <c r="O2" s="2">
        <f>DATE(YEAR(G2) + P2, MONTH(G2), DAY(G2))</f>
        <v>45530</v>
      </c>
      <c r="P2">
        <v>64</v>
      </c>
      <c r="Q2" s="2">
        <v>36453</v>
      </c>
      <c r="R2" t="s">
        <v>36</v>
      </c>
      <c r="S2" t="s">
        <v>37</v>
      </c>
      <c r="T2" s="2">
        <v>45290</v>
      </c>
      <c r="U2" t="s">
        <v>38</v>
      </c>
      <c r="V2" t="s">
        <v>39</v>
      </c>
      <c r="W2">
        <v>13</v>
      </c>
      <c r="X2" s="1">
        <v>37700</v>
      </c>
      <c r="Y2" s="1">
        <v>7540</v>
      </c>
      <c r="Z2" s="1">
        <v>30160</v>
      </c>
      <c r="AA2" s="3">
        <v>517</v>
      </c>
      <c r="AK2" s="3"/>
      <c r="AM2" s="4"/>
      <c r="AO2" s="4"/>
      <c r="BA2" s="2"/>
      <c r="BB2" s="2"/>
      <c r="BD2" s="4"/>
      <c r="BF2" s="4"/>
      <c r="BM2" s="2"/>
      <c r="BO2" s="4"/>
      <c r="BQ2" s="4"/>
      <c r="CI2" s="2"/>
      <c r="CJ2" s="2"/>
      <c r="CN2" s="2"/>
      <c r="CQ2" s="2"/>
      <c r="CV2" s="4"/>
      <c r="CX2" s="4"/>
      <c r="DB2" s="2"/>
      <c r="DC2" s="2"/>
      <c r="DE2" s="2"/>
      <c r="DF2" s="2"/>
      <c r="DV2" s="2"/>
      <c r="DW2" s="2"/>
      <c r="EF2" s="4"/>
      <c r="EH2" s="4"/>
      <c r="ER2" s="2"/>
      <c r="ES2" s="2"/>
      <c r="EX2" s="4"/>
      <c r="EZ2" s="4"/>
      <c r="FQ2" s="4"/>
      <c r="FS2" s="4"/>
      <c r="GE2" s="2"/>
      <c r="GJ2" s="4"/>
      <c r="GL2" s="4"/>
      <c r="GR2" s="2"/>
      <c r="GT2" s="3"/>
      <c r="GV2" s="2"/>
      <c r="GW2" s="3"/>
      <c r="GX2" s="3"/>
      <c r="HB2" s="3"/>
      <c r="HP2" s="2"/>
      <c r="HS2" s="4"/>
      <c r="HU2" s="4"/>
      <c r="IF2" s="3"/>
      <c r="II2" s="4"/>
      <c r="IK2" s="4"/>
      <c r="IS2" s="2"/>
      <c r="IT2" s="2"/>
      <c r="IV2" s="2"/>
      <c r="IW2" s="4"/>
      <c r="JH2" s="2"/>
      <c r="JK2" s="4"/>
      <c r="JM2" s="4"/>
      <c r="JZ2" s="2"/>
      <c r="KD2" s="4"/>
      <c r="KF2" s="4"/>
      <c r="KJ2" s="4"/>
      <c r="KT2" s="2"/>
      <c r="KW2" s="2"/>
      <c r="LC2" s="2"/>
      <c r="LF2" s="2"/>
      <c r="LK2" s="2"/>
      <c r="LT2" s="4"/>
      <c r="LV2" s="4"/>
      <c r="LZ2" s="3"/>
      <c r="NB2" s="2"/>
      <c r="NC2" s="2"/>
      <c r="NH2" s="3"/>
      <c r="NJ2" s="2"/>
      <c r="NN2" s="2"/>
      <c r="NO2" s="2"/>
      <c r="NT2" s="4"/>
      <c r="OA2" s="2"/>
      <c r="OB2" s="2"/>
      <c r="ON2" s="2"/>
      <c r="OR2" s="4"/>
      <c r="OT2" s="4"/>
      <c r="PD2" s="2"/>
      <c r="PH2" s="2"/>
      <c r="PN2" s="3"/>
      <c r="PQ2" s="2"/>
      <c r="PX2" s="2"/>
      <c r="PZ2" s="2"/>
      <c r="QF2" s="4"/>
      <c r="QH2" s="4"/>
      <c r="QZ2" s="2"/>
      <c r="RA2" s="2"/>
      <c r="RN2" s="4"/>
      <c r="RO2" s="4"/>
      <c r="RR2" s="2"/>
      <c r="RT2" s="2"/>
      <c r="RU2" s="2"/>
      <c r="SA2" s="4"/>
      <c r="SC2" s="4"/>
      <c r="SN2" s="2"/>
      <c r="SQ2" s="4"/>
      <c r="SS2" s="4"/>
      <c r="TG2" s="2"/>
      <c r="TH2" s="2"/>
      <c r="TI2" s="2"/>
      <c r="TU2" s="4"/>
      <c r="TW2" s="4"/>
    </row>
    <row r="3" spans="1:543">
      <c r="A3">
        <v>3702</v>
      </c>
      <c r="B3">
        <v>479</v>
      </c>
      <c r="C3">
        <v>6222398910</v>
      </c>
      <c r="D3" t="s">
        <v>40</v>
      </c>
      <c r="E3" t="s">
        <v>41</v>
      </c>
      <c r="F3" t="s">
        <v>42</v>
      </c>
      <c r="G3" s="2">
        <v>40267</v>
      </c>
      <c r="H3" t="s">
        <v>43</v>
      </c>
      <c r="I3" t="s">
        <v>44</v>
      </c>
      <c r="J3" t="s">
        <v>32</v>
      </c>
      <c r="K3" t="s">
        <v>45</v>
      </c>
      <c r="L3" t="s">
        <v>34</v>
      </c>
      <c r="M3" s="2"/>
      <c r="N3" t="s">
        <v>46</v>
      </c>
      <c r="O3" s="2">
        <f>DATE(YEAR(G3) + P3, MONTH(G3), DAY(G3))</f>
        <v>64739</v>
      </c>
      <c r="P3">
        <v>67</v>
      </c>
      <c r="Q3" s="2"/>
      <c r="R3" t="s">
        <v>47</v>
      </c>
      <c r="S3" t="s">
        <v>48</v>
      </c>
      <c r="T3" s="2">
        <v>43451</v>
      </c>
      <c r="U3" t="s">
        <v>49</v>
      </c>
      <c r="V3" t="s">
        <v>38</v>
      </c>
      <c r="W3">
        <v>3</v>
      </c>
      <c r="X3" s="1">
        <v>48488</v>
      </c>
      <c r="Y3" s="1">
        <v>9697.6</v>
      </c>
      <c r="Z3" s="1">
        <v>38790.400000000001</v>
      </c>
      <c r="AA3" s="3">
        <v>114</v>
      </c>
      <c r="AK3" s="3"/>
      <c r="AM3" s="4"/>
      <c r="AO3" s="4"/>
      <c r="BA3" s="2"/>
      <c r="BD3" s="4"/>
      <c r="BF3" s="4"/>
      <c r="BM3" s="2"/>
      <c r="BO3" s="4"/>
      <c r="BQ3" s="4"/>
      <c r="CI3" s="2"/>
      <c r="CJ3" s="2"/>
      <c r="CN3" s="2"/>
      <c r="CQ3" s="2"/>
      <c r="CV3" s="4"/>
      <c r="CX3" s="4"/>
      <c r="DC3" s="2"/>
      <c r="DE3" s="2"/>
      <c r="DF3" s="2"/>
      <c r="DV3" s="2"/>
      <c r="DW3" s="2"/>
      <c r="EF3" s="4"/>
      <c r="EH3" s="4"/>
      <c r="ER3" s="2"/>
      <c r="EX3" s="4"/>
      <c r="EZ3" s="4"/>
      <c r="FQ3" s="4"/>
      <c r="FS3" s="4"/>
      <c r="GE3" s="2"/>
      <c r="GJ3" s="4"/>
      <c r="GR3" s="2"/>
      <c r="GT3" s="3"/>
      <c r="GV3" s="2"/>
      <c r="GX3" s="3"/>
      <c r="GY3" s="3"/>
      <c r="HB3" s="3"/>
      <c r="HP3" s="2"/>
      <c r="HS3" s="4"/>
      <c r="HU3" s="4"/>
      <c r="II3" s="4"/>
      <c r="IK3" s="4"/>
      <c r="IS3" s="2"/>
      <c r="IT3" s="2"/>
      <c r="IV3" s="2"/>
      <c r="IW3" s="4"/>
      <c r="IY3" s="4"/>
      <c r="JH3" s="2"/>
      <c r="JK3" s="4"/>
      <c r="JZ3" s="2"/>
      <c r="KI3" s="3"/>
      <c r="KJ3" s="4"/>
      <c r="KT3" s="2"/>
      <c r="KU3" s="2"/>
      <c r="KW3" s="2"/>
      <c r="LC3" s="2"/>
      <c r="LF3" s="2"/>
      <c r="LK3" s="2"/>
      <c r="LT3" s="4"/>
      <c r="LV3" s="4"/>
      <c r="NB3" s="2"/>
      <c r="NC3" s="2"/>
      <c r="NG3" s="5"/>
      <c r="NH3" s="3"/>
      <c r="NJ3" s="2"/>
      <c r="NN3" s="2"/>
      <c r="NO3" s="2"/>
      <c r="NT3" s="4"/>
      <c r="NV3" s="4"/>
      <c r="OA3" s="2"/>
      <c r="OB3" s="2"/>
      <c r="ON3" s="2"/>
      <c r="OR3" s="4"/>
      <c r="OT3" s="4"/>
      <c r="PD3" s="2"/>
      <c r="PH3" s="2"/>
      <c r="PI3" s="3"/>
      <c r="PQ3" s="2"/>
      <c r="PX3" s="2"/>
      <c r="PZ3" s="2"/>
      <c r="QF3" s="4"/>
      <c r="QH3" s="4"/>
      <c r="QX3" s="3"/>
      <c r="QZ3" s="2"/>
      <c r="RA3" s="2"/>
      <c r="RM3" s="3"/>
      <c r="RN3" s="4"/>
      <c r="RO3" s="4"/>
      <c r="RR3" s="2"/>
      <c r="RU3" s="2"/>
      <c r="SA3" s="4"/>
      <c r="SC3" s="4"/>
      <c r="SN3" s="2"/>
      <c r="SQ3" s="4"/>
      <c r="SS3" s="4"/>
      <c r="TG3" s="2"/>
      <c r="TH3" s="2"/>
      <c r="TI3" s="2"/>
      <c r="TU3" s="4"/>
      <c r="TW3" s="4"/>
    </row>
    <row r="4" spans="1:543">
      <c r="A4">
        <v>9664</v>
      </c>
      <c r="B4">
        <v>6488</v>
      </c>
      <c r="C4">
        <v>2380750556</v>
      </c>
      <c r="D4" t="s">
        <v>50</v>
      </c>
      <c r="E4" t="s">
        <v>51</v>
      </c>
      <c r="F4" t="s">
        <v>52</v>
      </c>
      <c r="G4" s="2">
        <v>24258</v>
      </c>
      <c r="H4" t="s">
        <v>30</v>
      </c>
      <c r="I4" t="s">
        <v>53</v>
      </c>
      <c r="J4" t="s">
        <v>32</v>
      </c>
      <c r="K4" t="s">
        <v>54</v>
      </c>
      <c r="L4" t="s">
        <v>34</v>
      </c>
      <c r="M4" s="2"/>
      <c r="N4" t="s">
        <v>55</v>
      </c>
      <c r="O4" s="2">
        <f>DATE(YEAR(G4) + P4, MONTH(G4), DAY(G4))</f>
        <v>46173</v>
      </c>
      <c r="P4">
        <v>60</v>
      </c>
      <c r="R4" t="s">
        <v>47</v>
      </c>
      <c r="S4" t="s">
        <v>48</v>
      </c>
      <c r="T4" s="2">
        <v>23526</v>
      </c>
      <c r="U4" t="s">
        <v>38</v>
      </c>
      <c r="V4" t="s">
        <v>56</v>
      </c>
      <c r="W4">
        <v>12</v>
      </c>
      <c r="X4" s="1">
        <v>9666</v>
      </c>
      <c r="Y4" s="1">
        <v>1933.2</v>
      </c>
      <c r="Z4" s="1">
        <v>7732.8</v>
      </c>
      <c r="AA4" s="3">
        <v>566</v>
      </c>
      <c r="AK4" s="3"/>
      <c r="AM4" s="4"/>
      <c r="AO4" s="4"/>
      <c r="BA4" s="2"/>
      <c r="BB4" s="2"/>
      <c r="BD4" s="4"/>
      <c r="BF4" s="4"/>
      <c r="BM4" s="2"/>
      <c r="BO4" s="4"/>
      <c r="BQ4" s="4"/>
      <c r="CH4" s="3"/>
      <c r="CI4" s="2"/>
      <c r="CJ4" s="2"/>
      <c r="CN4" s="2"/>
      <c r="CQ4" s="2"/>
      <c r="CV4" s="4"/>
      <c r="CX4" s="4"/>
      <c r="CZ4" s="3"/>
      <c r="DB4" s="2"/>
      <c r="DC4" s="2"/>
      <c r="DE4" s="2"/>
      <c r="DV4" s="2"/>
      <c r="DW4" s="2"/>
      <c r="EF4" s="4"/>
      <c r="EH4" s="4"/>
      <c r="ER4" s="2"/>
      <c r="ES4" s="2"/>
      <c r="EX4" s="4"/>
      <c r="EZ4" s="4"/>
      <c r="FQ4" s="4"/>
      <c r="FS4" s="4"/>
      <c r="GE4" s="2"/>
      <c r="GJ4" s="4"/>
      <c r="GL4" s="4"/>
      <c r="GR4" s="2"/>
      <c r="GT4" s="3"/>
      <c r="GU4" s="3"/>
      <c r="GV4" s="2"/>
      <c r="HB4" s="3"/>
      <c r="HP4" s="2"/>
      <c r="HS4" s="4"/>
      <c r="HU4" s="4"/>
      <c r="II4" s="4"/>
      <c r="IS4" s="2"/>
      <c r="IT4" s="2"/>
      <c r="IV4" s="2"/>
      <c r="IW4" s="4"/>
      <c r="IY4" s="4"/>
      <c r="JH4" s="2"/>
      <c r="JK4" s="4"/>
      <c r="JM4" s="4"/>
      <c r="JZ4" s="2"/>
      <c r="KD4" s="4"/>
      <c r="KF4" s="4"/>
      <c r="KU4" s="2"/>
      <c r="KW4" s="2"/>
      <c r="LC4" s="2"/>
      <c r="LF4" s="2"/>
      <c r="LK4" s="2"/>
      <c r="LT4" s="4"/>
      <c r="LV4" s="4"/>
      <c r="NB4" s="2"/>
      <c r="NJ4" s="2"/>
      <c r="NN4" s="2"/>
      <c r="NO4" s="2"/>
      <c r="NV4" s="4"/>
      <c r="OA4" s="2"/>
      <c r="OB4" s="2"/>
      <c r="ON4" s="2"/>
      <c r="OR4" s="4"/>
      <c r="OT4" s="4"/>
      <c r="PD4" s="2"/>
      <c r="PH4" s="2"/>
      <c r="PQ4" s="2"/>
      <c r="PX4" s="2"/>
      <c r="PZ4" s="2"/>
      <c r="QF4" s="4"/>
      <c r="QH4" s="4"/>
      <c r="QZ4" s="2"/>
      <c r="RA4" s="2"/>
      <c r="RN4" s="4"/>
      <c r="RO4" s="4"/>
      <c r="RR4" s="2"/>
      <c r="RU4" s="2"/>
      <c r="SA4" s="4"/>
      <c r="SC4" s="4"/>
      <c r="SN4" s="2"/>
      <c r="SQ4" s="4"/>
      <c r="SS4" s="4"/>
      <c r="TG4" s="2"/>
      <c r="TH4" s="2"/>
      <c r="TI4" s="2"/>
      <c r="TU4" s="4"/>
      <c r="TW4" s="4"/>
    </row>
    <row r="5" spans="1:543">
      <c r="A5">
        <v>7135</v>
      </c>
      <c r="B5">
        <v>5766</v>
      </c>
      <c r="C5">
        <v>8749594656</v>
      </c>
      <c r="D5" t="s">
        <v>57</v>
      </c>
      <c r="E5" t="s">
        <v>58</v>
      </c>
      <c r="F5" t="s">
        <v>59</v>
      </c>
      <c r="G5" s="2">
        <v>34675</v>
      </c>
      <c r="H5" t="s">
        <v>30</v>
      </c>
      <c r="I5" t="s">
        <v>60</v>
      </c>
      <c r="J5" t="s">
        <v>61</v>
      </c>
      <c r="K5" t="s">
        <v>62</v>
      </c>
      <c r="L5" t="s">
        <v>34</v>
      </c>
      <c r="M5" s="2"/>
      <c r="N5" t="s">
        <v>63</v>
      </c>
      <c r="O5" s="2">
        <f>DATE(YEAR(G5) + P5, MONTH(G5), DAY(G5))</f>
        <v>59877</v>
      </c>
      <c r="P5">
        <v>69</v>
      </c>
      <c r="Q5" s="2"/>
      <c r="R5" t="s">
        <v>47</v>
      </c>
      <c r="S5" t="s">
        <v>64</v>
      </c>
      <c r="T5" s="2">
        <v>43799</v>
      </c>
      <c r="U5" t="s">
        <v>65</v>
      </c>
      <c r="V5" t="s">
        <v>66</v>
      </c>
      <c r="W5">
        <v>20</v>
      </c>
      <c r="X5" s="1">
        <v>99337</v>
      </c>
      <c r="Y5" s="1">
        <v>19867.400000000001</v>
      </c>
      <c r="Z5" s="1">
        <v>79469.600000000006</v>
      </c>
      <c r="AA5" s="3">
        <v>256</v>
      </c>
      <c r="AK5" s="3"/>
      <c r="AM5" s="4"/>
      <c r="AO5" s="4"/>
      <c r="BA5" s="2"/>
      <c r="BB5" s="2"/>
      <c r="BD5" s="4"/>
      <c r="BF5" s="4"/>
      <c r="BM5" s="2"/>
      <c r="BO5" s="4"/>
      <c r="BQ5" s="4"/>
      <c r="CF5" s="3"/>
      <c r="CI5" s="2"/>
      <c r="CJ5" s="2"/>
      <c r="CL5" s="3"/>
      <c r="CN5" s="2"/>
      <c r="CQ5" s="2"/>
      <c r="CV5" s="4"/>
      <c r="CX5" s="4"/>
      <c r="CZ5" s="3"/>
      <c r="DB5" s="2"/>
      <c r="DC5" s="2"/>
      <c r="DE5" s="2"/>
      <c r="DF5" s="2"/>
      <c r="DV5" s="2"/>
      <c r="DW5" s="2"/>
      <c r="DY5" s="3"/>
      <c r="EF5" s="4"/>
      <c r="EH5" s="4"/>
      <c r="ER5" s="2"/>
      <c r="ES5" s="2"/>
      <c r="EX5" s="4"/>
      <c r="EZ5" s="4"/>
      <c r="FQ5" s="4"/>
      <c r="FS5" s="4"/>
      <c r="GE5" s="2"/>
      <c r="GJ5" s="4"/>
      <c r="GL5" s="4"/>
      <c r="GR5" s="2"/>
      <c r="GT5" s="3"/>
      <c r="GV5" s="2"/>
      <c r="GY5" s="3"/>
      <c r="HB5" s="3"/>
      <c r="HO5" s="3"/>
      <c r="HP5" s="2"/>
      <c r="HS5" s="4"/>
      <c r="IF5" s="3"/>
      <c r="II5" s="4"/>
      <c r="IK5" s="4"/>
      <c r="IS5" s="2"/>
      <c r="IT5" s="2"/>
      <c r="IV5" s="2"/>
      <c r="IW5" s="4"/>
      <c r="IY5" s="4"/>
      <c r="JK5" s="4"/>
      <c r="JM5" s="4"/>
      <c r="JZ5" s="2"/>
      <c r="KD5" s="4"/>
      <c r="KF5" s="4"/>
      <c r="KT5" s="2"/>
      <c r="KW5" s="2"/>
      <c r="LC5" s="2"/>
      <c r="LF5" s="2"/>
      <c r="LK5" s="2"/>
      <c r="LT5" s="4"/>
      <c r="LV5" s="4"/>
      <c r="NB5" s="2"/>
      <c r="NC5" s="2"/>
      <c r="NH5" s="3"/>
      <c r="NJ5" s="2"/>
      <c r="NN5" s="2"/>
      <c r="NO5" s="2"/>
      <c r="NT5" s="4"/>
      <c r="NV5" s="4"/>
      <c r="OA5" s="2"/>
      <c r="OB5" s="2"/>
      <c r="OO5" s="3"/>
      <c r="OR5" s="4"/>
      <c r="OT5" s="4"/>
      <c r="PD5" s="2"/>
      <c r="PH5" s="2"/>
      <c r="PI5" s="3"/>
      <c r="PQ5" s="2"/>
      <c r="PX5" s="2"/>
      <c r="PZ5" s="2"/>
      <c r="QF5" s="4"/>
      <c r="QH5" s="4"/>
      <c r="QZ5" s="2"/>
      <c r="RA5" s="2"/>
      <c r="RN5" s="4"/>
      <c r="RO5" s="4"/>
      <c r="RR5" s="2"/>
      <c r="RT5" s="2"/>
      <c r="RU5" s="2"/>
      <c r="SA5" s="4"/>
      <c r="SC5" s="4"/>
      <c r="SN5" s="2"/>
      <c r="SQ5" s="4"/>
      <c r="SS5" s="4"/>
      <c r="TG5" s="2"/>
      <c r="TH5" s="2"/>
      <c r="TI5" s="2"/>
      <c r="TU5" s="4"/>
      <c r="TW5" s="4"/>
    </row>
    <row r="6" spans="1:543">
      <c r="A6">
        <v>1231</v>
      </c>
      <c r="B6">
        <v>5467</v>
      </c>
      <c r="C6">
        <v>3749084927</v>
      </c>
      <c r="D6" t="s">
        <v>67</v>
      </c>
      <c r="E6" t="s">
        <v>68</v>
      </c>
      <c r="F6" t="s">
        <v>69</v>
      </c>
      <c r="G6" s="2">
        <v>33649</v>
      </c>
      <c r="H6" t="s">
        <v>30</v>
      </c>
      <c r="I6" t="s">
        <v>70</v>
      </c>
      <c r="J6" t="s">
        <v>32</v>
      </c>
      <c r="L6" t="s">
        <v>34</v>
      </c>
      <c r="M6" s="2"/>
      <c r="N6" t="s">
        <v>71</v>
      </c>
      <c r="O6" s="2">
        <f>DATE(YEAR(G6) + P6, MONTH(G6), DAY(G6))</f>
        <v>59217</v>
      </c>
      <c r="P6">
        <v>70</v>
      </c>
      <c r="Q6" s="2">
        <v>42585</v>
      </c>
      <c r="R6" t="s">
        <v>36</v>
      </c>
      <c r="S6" t="s">
        <v>37</v>
      </c>
      <c r="T6" s="2">
        <v>39033</v>
      </c>
      <c r="U6" t="s">
        <v>65</v>
      </c>
      <c r="V6" t="s">
        <v>66</v>
      </c>
      <c r="W6">
        <v>11</v>
      </c>
      <c r="X6" s="1">
        <v>89020</v>
      </c>
      <c r="Y6" s="1">
        <v>17804</v>
      </c>
      <c r="Z6" s="1">
        <v>71216</v>
      </c>
      <c r="AA6" s="3">
        <v>569</v>
      </c>
      <c r="AK6" s="3"/>
      <c r="AM6" s="4"/>
      <c r="BA6" s="2"/>
      <c r="BB6" s="2"/>
      <c r="BD6" s="4"/>
      <c r="BF6" s="4"/>
      <c r="BM6" s="2"/>
      <c r="BO6" s="4"/>
      <c r="BQ6" s="4"/>
      <c r="CI6" s="2"/>
      <c r="CN6" s="2"/>
      <c r="CP6" s="3"/>
      <c r="CQ6" s="2"/>
      <c r="CV6" s="4"/>
      <c r="CX6" s="4"/>
      <c r="DB6" s="2"/>
      <c r="DC6" s="2"/>
      <c r="DE6" s="2"/>
      <c r="DF6" s="2"/>
      <c r="DV6" s="2"/>
      <c r="DW6" s="2"/>
      <c r="EF6" s="4"/>
      <c r="EH6" s="4"/>
      <c r="ER6" s="2"/>
      <c r="ES6" s="2"/>
      <c r="EX6" s="4"/>
      <c r="FQ6" s="4"/>
      <c r="FS6" s="4"/>
      <c r="GE6" s="2"/>
      <c r="GJ6" s="4"/>
      <c r="GL6" s="4"/>
      <c r="GR6" s="2"/>
      <c r="GV6" s="2"/>
      <c r="GY6" s="3"/>
      <c r="HB6" s="3"/>
      <c r="HN6" s="3"/>
      <c r="HP6" s="2"/>
      <c r="HS6" s="4"/>
      <c r="HU6" s="4"/>
      <c r="II6" s="4"/>
      <c r="IK6" s="4"/>
      <c r="IT6" s="2"/>
      <c r="IV6" s="2"/>
      <c r="IW6" s="4"/>
      <c r="JH6" s="2"/>
      <c r="JK6" s="4"/>
      <c r="JM6" s="4"/>
      <c r="JZ6" s="2"/>
      <c r="KD6" s="4"/>
      <c r="KF6" s="4"/>
      <c r="KJ6" s="4"/>
      <c r="KT6" s="2"/>
      <c r="KU6" s="2"/>
      <c r="KW6" s="2"/>
      <c r="LC6" s="2"/>
      <c r="LF6" s="2"/>
      <c r="LK6" s="2"/>
      <c r="LT6" s="4"/>
      <c r="LV6" s="4"/>
      <c r="NB6" s="2"/>
      <c r="NC6" s="2"/>
      <c r="NG6" s="5"/>
      <c r="NJ6" s="2"/>
      <c r="NN6" s="2"/>
      <c r="NO6" s="2"/>
      <c r="NT6" s="4"/>
      <c r="NV6" s="4"/>
      <c r="OA6" s="2"/>
      <c r="OB6" s="2"/>
      <c r="ON6" s="2"/>
      <c r="OR6" s="4"/>
      <c r="OT6" s="4"/>
      <c r="PD6" s="2"/>
      <c r="PH6" s="2"/>
      <c r="PK6" s="3"/>
      <c r="PQ6" s="2"/>
      <c r="PX6" s="2"/>
      <c r="PZ6" s="2"/>
      <c r="QF6" s="4"/>
      <c r="QH6" s="4"/>
      <c r="QZ6" s="2"/>
      <c r="RA6" s="2"/>
      <c r="RN6" s="4"/>
      <c r="RO6" s="4"/>
      <c r="RR6" s="2"/>
      <c r="RT6" s="2"/>
      <c r="RU6" s="2"/>
      <c r="SA6" s="4"/>
      <c r="SC6" s="4"/>
      <c r="SN6" s="2"/>
      <c r="SQ6" s="4"/>
      <c r="SS6" s="4"/>
      <c r="TG6" s="2"/>
      <c r="TO6" s="3"/>
      <c r="TP6" s="3"/>
      <c r="TU6" s="4"/>
      <c r="TW6" s="4"/>
    </row>
    <row r="7" spans="1:543">
      <c r="A7">
        <v>9553</v>
      </c>
      <c r="B7">
        <v>9135</v>
      </c>
      <c r="C7">
        <v>1523905023</v>
      </c>
      <c r="D7" t="s">
        <v>72</v>
      </c>
      <c r="E7" t="s">
        <v>73</v>
      </c>
      <c r="F7" t="s">
        <v>74</v>
      </c>
      <c r="G7" s="2">
        <v>40121</v>
      </c>
      <c r="H7" t="s">
        <v>43</v>
      </c>
      <c r="I7" t="s">
        <v>75</v>
      </c>
      <c r="J7" t="s">
        <v>32</v>
      </c>
      <c r="K7" t="s">
        <v>76</v>
      </c>
      <c r="L7" t="s">
        <v>77</v>
      </c>
      <c r="M7" s="2"/>
      <c r="N7" t="s">
        <v>78</v>
      </c>
      <c r="O7" s="2">
        <f>DATE(YEAR(G7) + P7, MONTH(G7), DAY(G7))</f>
        <v>64593</v>
      </c>
      <c r="P7">
        <v>67</v>
      </c>
      <c r="Q7" s="2"/>
      <c r="R7" t="s">
        <v>47</v>
      </c>
      <c r="S7" t="s">
        <v>64</v>
      </c>
      <c r="T7" s="2">
        <v>42178</v>
      </c>
      <c r="U7" t="s">
        <v>38</v>
      </c>
      <c r="V7" t="s">
        <v>66</v>
      </c>
      <c r="W7">
        <v>5</v>
      </c>
      <c r="X7" s="1">
        <v>25089</v>
      </c>
      <c r="Y7" s="1">
        <v>5017.8</v>
      </c>
      <c r="Z7" s="1">
        <v>41295.31</v>
      </c>
      <c r="AA7" s="3">
        <v>126</v>
      </c>
      <c r="AB7" s="3"/>
      <c r="AK7" s="3"/>
      <c r="AM7" s="4"/>
      <c r="AO7" s="4"/>
      <c r="BA7" s="2"/>
      <c r="BD7" s="4"/>
      <c r="BF7" s="4"/>
      <c r="BM7" s="2"/>
      <c r="BO7" s="4"/>
      <c r="BQ7" s="4"/>
      <c r="CI7" s="2"/>
      <c r="CJ7" s="2"/>
      <c r="CN7" s="2"/>
      <c r="CQ7" s="2"/>
      <c r="CV7" s="4"/>
      <c r="CX7" s="4"/>
      <c r="DC7" s="2"/>
      <c r="DE7" s="2"/>
      <c r="DF7" s="2"/>
      <c r="DG7" s="3"/>
      <c r="DV7" s="2"/>
      <c r="DW7" s="2"/>
      <c r="DY7" s="3"/>
      <c r="EF7" s="4"/>
      <c r="EH7" s="4"/>
      <c r="ER7" s="2"/>
      <c r="ES7" s="2"/>
      <c r="EX7" s="4"/>
      <c r="EZ7" s="4"/>
      <c r="FQ7" s="4"/>
      <c r="GE7" s="2"/>
      <c r="GJ7" s="4"/>
      <c r="GL7" s="4"/>
      <c r="GR7" s="2"/>
      <c r="GU7" s="3"/>
      <c r="GV7" s="2"/>
      <c r="GW7" s="3"/>
      <c r="GX7" s="3"/>
      <c r="HB7" s="3"/>
      <c r="HP7" s="2"/>
      <c r="HS7" s="4"/>
      <c r="HU7" s="4"/>
      <c r="II7" s="4"/>
      <c r="IK7" s="4"/>
      <c r="IS7" s="2"/>
      <c r="IT7" s="2"/>
      <c r="IV7" s="2"/>
      <c r="IW7" s="4"/>
      <c r="IY7" s="4"/>
      <c r="JH7" s="2"/>
      <c r="JK7" s="4"/>
      <c r="JM7" s="4"/>
      <c r="JZ7" s="2"/>
      <c r="KD7" s="4"/>
      <c r="KF7" s="4"/>
      <c r="KJ7" s="4"/>
      <c r="KT7" s="2"/>
      <c r="KU7" s="2"/>
      <c r="KW7" s="2"/>
      <c r="LC7" s="2"/>
      <c r="LF7" s="2"/>
      <c r="LK7" s="2"/>
      <c r="LT7" s="4"/>
      <c r="LV7" s="4"/>
      <c r="MD7" s="3"/>
      <c r="NB7" s="2"/>
      <c r="NC7" s="2"/>
      <c r="NJ7" s="2"/>
      <c r="NN7" s="2"/>
      <c r="NO7" s="2"/>
      <c r="NT7" s="4"/>
      <c r="NV7" s="4"/>
      <c r="OA7" s="2"/>
      <c r="OB7" s="2"/>
      <c r="ON7" s="2"/>
      <c r="OR7" s="4"/>
      <c r="OT7" s="4"/>
      <c r="PD7" s="2"/>
      <c r="PH7" s="2"/>
      <c r="PQ7" s="2"/>
      <c r="PX7" s="2"/>
      <c r="PZ7" s="2"/>
      <c r="QF7" s="4"/>
      <c r="QH7" s="4"/>
      <c r="QZ7" s="2"/>
      <c r="RA7" s="2"/>
      <c r="RN7" s="4"/>
      <c r="RR7" s="2"/>
      <c r="RT7" s="2"/>
      <c r="RU7" s="2"/>
      <c r="SC7" s="4"/>
      <c r="SN7" s="2"/>
      <c r="SQ7" s="4"/>
      <c r="SS7" s="4"/>
      <c r="TG7" s="2"/>
      <c r="TH7" s="2"/>
      <c r="TI7" s="2"/>
      <c r="TP7" s="3"/>
      <c r="TU7" s="4"/>
      <c r="TW7" s="4"/>
    </row>
    <row r="8" spans="1:543">
      <c r="A8">
        <v>3545</v>
      </c>
      <c r="B8">
        <v>1951</v>
      </c>
      <c r="C8">
        <v>2877524120</v>
      </c>
      <c r="D8" t="s">
        <v>79</v>
      </c>
      <c r="E8" t="s">
        <v>80</v>
      </c>
      <c r="F8" t="s">
        <v>81</v>
      </c>
      <c r="G8" s="2">
        <v>40390</v>
      </c>
      <c r="H8" t="s">
        <v>43</v>
      </c>
      <c r="I8" t="s">
        <v>44</v>
      </c>
      <c r="J8" t="s">
        <v>32</v>
      </c>
      <c r="K8" t="s">
        <v>82</v>
      </c>
      <c r="L8" t="s">
        <v>77</v>
      </c>
      <c r="M8" s="2"/>
      <c r="N8" t="s">
        <v>83</v>
      </c>
      <c r="O8" s="2">
        <v>59142</v>
      </c>
      <c r="P8">
        <v>68</v>
      </c>
      <c r="Q8" s="2"/>
      <c r="R8" t="s">
        <v>47</v>
      </c>
      <c r="S8" t="s">
        <v>37</v>
      </c>
      <c r="T8" s="2">
        <v>34577</v>
      </c>
      <c r="U8" t="s">
        <v>65</v>
      </c>
      <c r="V8" t="s">
        <v>56</v>
      </c>
      <c r="W8">
        <v>8</v>
      </c>
      <c r="X8" s="1">
        <v>21217</v>
      </c>
      <c r="Y8" s="1">
        <v>4243.4000000000005</v>
      </c>
      <c r="Z8" s="1">
        <v>16973.599999999999</v>
      </c>
      <c r="AA8" s="3">
        <v>77</v>
      </c>
      <c r="AK8" s="3"/>
      <c r="AM8" s="4"/>
      <c r="AO8" s="4"/>
      <c r="BA8" s="2"/>
      <c r="BB8" s="2"/>
      <c r="BD8" s="4"/>
      <c r="BF8" s="4"/>
      <c r="BM8" s="2"/>
      <c r="BQ8" s="4"/>
      <c r="CF8" s="3"/>
      <c r="CI8" s="2"/>
      <c r="CJ8" s="2"/>
      <c r="CQ8" s="2"/>
      <c r="CV8" s="4"/>
      <c r="CX8" s="4"/>
      <c r="DC8" s="2"/>
      <c r="DE8" s="2"/>
      <c r="DF8" s="2"/>
      <c r="DV8" s="2"/>
      <c r="DW8" s="2"/>
      <c r="EF8" s="4"/>
      <c r="EH8" s="4"/>
      <c r="ES8" s="2"/>
      <c r="EX8" s="4"/>
      <c r="EZ8" s="4"/>
      <c r="FQ8" s="4"/>
      <c r="GE8" s="2"/>
      <c r="GJ8" s="4"/>
      <c r="GL8" s="4"/>
      <c r="GR8" s="2"/>
      <c r="GV8" s="2"/>
      <c r="GW8" s="3"/>
      <c r="GX8" s="3"/>
      <c r="GY8" s="3"/>
      <c r="HP8" s="2"/>
      <c r="HS8" s="4"/>
      <c r="HU8" s="4"/>
      <c r="IF8" s="3"/>
      <c r="II8" s="4"/>
      <c r="IK8" s="4"/>
      <c r="IS8" s="2"/>
      <c r="IT8" s="2"/>
      <c r="IV8" s="2"/>
      <c r="IW8" s="4"/>
      <c r="IY8" s="4"/>
      <c r="JH8" s="2"/>
      <c r="JK8" s="4"/>
      <c r="JM8" s="4"/>
      <c r="JZ8" s="2"/>
      <c r="KD8" s="4"/>
      <c r="KF8" s="4"/>
      <c r="KJ8" s="4"/>
      <c r="KT8" s="2"/>
      <c r="KU8" s="2"/>
      <c r="KW8" s="2"/>
      <c r="LC8" s="2"/>
      <c r="LF8" s="2"/>
      <c r="LK8" s="2"/>
      <c r="LT8" s="4"/>
      <c r="LV8" s="4"/>
      <c r="MF8" s="3"/>
      <c r="NB8" s="2"/>
      <c r="NC8" s="2"/>
      <c r="NJ8" s="2"/>
      <c r="NN8" s="2"/>
      <c r="NO8" s="2"/>
      <c r="NT8" s="4"/>
      <c r="NV8" s="4"/>
      <c r="OA8" s="2"/>
      <c r="OB8" s="2"/>
      <c r="ON8" s="2"/>
      <c r="OR8" s="4"/>
      <c r="OT8" s="4"/>
      <c r="PD8" s="2"/>
      <c r="PH8" s="2"/>
      <c r="PX8" s="2"/>
      <c r="PZ8" s="2"/>
      <c r="QF8" s="4"/>
      <c r="QH8" s="4"/>
      <c r="QZ8" s="2"/>
      <c r="RA8" s="2"/>
      <c r="RN8" s="4"/>
      <c r="RO8" s="4"/>
      <c r="RR8" s="2"/>
      <c r="RT8" s="2"/>
      <c r="RU8" s="2"/>
      <c r="SA8" s="4"/>
      <c r="SC8" s="4"/>
      <c r="SN8" s="2"/>
      <c r="SQ8" s="4"/>
      <c r="SS8" s="4"/>
      <c r="TH8" s="2"/>
      <c r="TI8" s="2"/>
      <c r="TU8" s="4"/>
    </row>
    <row r="9" spans="1:543">
      <c r="A9">
        <v>8062</v>
      </c>
      <c r="B9">
        <v>5473</v>
      </c>
      <c r="C9">
        <v>1337033331</v>
      </c>
      <c r="D9" t="s">
        <v>84</v>
      </c>
      <c r="E9" t="s">
        <v>85</v>
      </c>
      <c r="F9" t="s">
        <v>86</v>
      </c>
      <c r="G9" s="2">
        <v>32841</v>
      </c>
      <c r="H9" t="s">
        <v>43</v>
      </c>
      <c r="I9" t="s">
        <v>87</v>
      </c>
      <c r="J9" t="s">
        <v>61</v>
      </c>
      <c r="K9" t="s">
        <v>88</v>
      </c>
      <c r="L9" t="s">
        <v>77</v>
      </c>
      <c r="M9" s="2">
        <v>39934</v>
      </c>
      <c r="N9" t="s">
        <v>89</v>
      </c>
      <c r="O9" s="2">
        <f>DATE(YEAR(G9) + P9, MONTH(G9), DAY(G9))</f>
        <v>57678</v>
      </c>
      <c r="P9">
        <v>68</v>
      </c>
      <c r="Q9" s="2"/>
      <c r="R9" t="s">
        <v>47</v>
      </c>
      <c r="S9" t="s">
        <v>64</v>
      </c>
      <c r="T9" s="2">
        <v>45413</v>
      </c>
      <c r="U9" t="s">
        <v>38</v>
      </c>
      <c r="V9" t="s">
        <v>56</v>
      </c>
      <c r="W9">
        <v>24</v>
      </c>
      <c r="X9" s="1">
        <v>98961</v>
      </c>
      <c r="Y9" s="1">
        <v>19792.2</v>
      </c>
      <c r="Z9" s="1">
        <v>79168.800000000003</v>
      </c>
      <c r="AA9" s="3">
        <v>956</v>
      </c>
      <c r="AK9" s="3"/>
      <c r="AM9" s="4"/>
      <c r="AO9" s="4"/>
      <c r="BA9" s="2"/>
      <c r="BB9" s="2"/>
      <c r="BD9" s="4"/>
      <c r="BF9" s="4"/>
      <c r="BM9" s="2"/>
      <c r="BO9" s="4"/>
      <c r="BQ9" s="4"/>
      <c r="CI9" s="2"/>
      <c r="CJ9" s="2"/>
      <c r="CN9" s="2"/>
      <c r="CV9" s="4"/>
      <c r="CX9" s="4"/>
      <c r="DC9" s="2"/>
      <c r="DE9" s="2"/>
      <c r="DV9" s="2"/>
      <c r="DW9" s="2"/>
      <c r="DY9" s="3"/>
      <c r="EF9" s="4"/>
      <c r="EH9" s="4"/>
      <c r="ES9" s="2"/>
      <c r="EX9" s="4"/>
      <c r="EZ9" s="4"/>
      <c r="FQ9" s="4"/>
      <c r="FS9" s="4"/>
      <c r="GE9" s="2"/>
      <c r="GJ9" s="4"/>
      <c r="GL9" s="4"/>
      <c r="GR9" s="2"/>
      <c r="GS9" s="3"/>
      <c r="GV9" s="2"/>
      <c r="GX9" s="3"/>
      <c r="HB9" s="3"/>
      <c r="HP9" s="2"/>
      <c r="HS9" s="4"/>
      <c r="HU9" s="4"/>
      <c r="II9" s="4"/>
      <c r="IK9" s="4"/>
      <c r="IS9" s="2"/>
      <c r="IT9" s="2"/>
      <c r="IV9" s="2"/>
      <c r="IW9" s="4"/>
      <c r="IY9" s="4"/>
      <c r="JH9" s="2"/>
      <c r="JK9" s="4"/>
      <c r="JM9" s="4"/>
      <c r="JZ9" s="2"/>
      <c r="KD9" s="4"/>
      <c r="KF9" s="4"/>
      <c r="KJ9" s="4"/>
      <c r="KT9" s="2"/>
      <c r="KU9" s="2"/>
      <c r="KW9" s="2"/>
      <c r="LC9" s="2"/>
      <c r="LF9" s="2"/>
      <c r="LK9" s="2"/>
      <c r="LT9" s="4"/>
      <c r="LV9" s="4"/>
      <c r="NB9" s="2"/>
      <c r="NC9" s="2"/>
      <c r="NJ9" s="2"/>
      <c r="NN9" s="2"/>
      <c r="NT9" s="4"/>
      <c r="NV9" s="4"/>
      <c r="OA9" s="2"/>
      <c r="ON9" s="2"/>
      <c r="OR9" s="4"/>
      <c r="OT9" s="4"/>
      <c r="PD9" s="2"/>
      <c r="PH9" s="2"/>
      <c r="PN9" s="3"/>
      <c r="PQ9" s="2"/>
      <c r="PX9" s="2"/>
      <c r="PZ9" s="2"/>
      <c r="QF9" s="4"/>
      <c r="QH9" s="4"/>
      <c r="QZ9" s="2"/>
      <c r="RA9" s="2"/>
      <c r="RN9" s="4"/>
      <c r="RO9" s="4"/>
      <c r="RR9" s="2"/>
      <c r="RT9" s="2"/>
      <c r="RU9" s="2"/>
      <c r="SA9" s="4"/>
      <c r="SC9" s="4"/>
      <c r="SN9" s="2"/>
      <c r="SQ9" s="4"/>
      <c r="SS9" s="4"/>
      <c r="TG9" s="2"/>
      <c r="TH9" s="2"/>
      <c r="TI9" s="2"/>
      <c r="TU9" s="4"/>
      <c r="TW9" s="4"/>
    </row>
    <row r="10" spans="1:543">
      <c r="A10">
        <v>2400</v>
      </c>
      <c r="B10">
        <v>7257</v>
      </c>
      <c r="C10" s="3" t="s">
        <v>90</v>
      </c>
      <c r="D10" t="s">
        <v>91</v>
      </c>
      <c r="E10" t="s">
        <v>92</v>
      </c>
      <c r="F10" t="s">
        <v>93</v>
      </c>
      <c r="G10" s="2"/>
      <c r="H10" t="s">
        <v>30</v>
      </c>
      <c r="I10" t="s">
        <v>53</v>
      </c>
      <c r="J10" t="s">
        <v>32</v>
      </c>
      <c r="K10" t="s">
        <v>94</v>
      </c>
      <c r="L10" t="s">
        <v>95</v>
      </c>
      <c r="M10" s="2"/>
      <c r="N10" t="s">
        <v>96</v>
      </c>
      <c r="O10" s="2">
        <f>DATE(YEAR(G10) + P10, MONTH(G10), DAY(G10))</f>
        <v>25568</v>
      </c>
      <c r="P10">
        <v>70</v>
      </c>
      <c r="Q10" s="2"/>
      <c r="R10" t="s">
        <v>47</v>
      </c>
      <c r="S10" t="s">
        <v>48</v>
      </c>
      <c r="T10" s="2">
        <v>44236</v>
      </c>
      <c r="U10" t="s">
        <v>49</v>
      </c>
      <c r="V10" t="s">
        <v>38</v>
      </c>
      <c r="W10">
        <v>10</v>
      </c>
      <c r="X10" s="1">
        <v>74362</v>
      </c>
      <c r="Y10" s="1">
        <v>14872.400000000001</v>
      </c>
      <c r="Z10" s="1">
        <v>59489.599999999999</v>
      </c>
      <c r="AA10" s="3">
        <v>806</v>
      </c>
      <c r="AB10" s="3"/>
      <c r="AK10" s="3"/>
      <c r="AM10" s="4"/>
      <c r="AO10" s="4"/>
      <c r="BA10" s="2"/>
      <c r="BB10" s="2"/>
      <c r="BD10" s="4"/>
      <c r="BF10" s="4"/>
      <c r="BM10" s="2"/>
      <c r="BO10" s="4"/>
      <c r="BQ10" s="4"/>
      <c r="CI10" s="2"/>
      <c r="CJ10" s="2"/>
      <c r="CN10" s="2"/>
      <c r="CQ10" s="2"/>
      <c r="CV10" s="4"/>
      <c r="CX10" s="4"/>
      <c r="CZ10" s="3"/>
      <c r="DB10" s="2"/>
      <c r="DC10" s="2"/>
      <c r="DF10" s="2"/>
      <c r="DV10" s="2"/>
      <c r="DW10" s="2"/>
      <c r="EF10" s="4"/>
      <c r="EH10" s="4"/>
      <c r="ER10" s="2"/>
      <c r="ES10" s="2"/>
      <c r="EX10" s="4"/>
      <c r="EZ10" s="4"/>
      <c r="FQ10" s="4"/>
      <c r="FS10" s="4"/>
      <c r="GJ10" s="4"/>
      <c r="GL10" s="4"/>
      <c r="GR10" s="2"/>
      <c r="GT10" s="3"/>
      <c r="GU10" s="3"/>
      <c r="GV10" s="2"/>
      <c r="GY10" s="3"/>
      <c r="HB10" s="3"/>
      <c r="HP10" s="2"/>
      <c r="HS10" s="4"/>
      <c r="HU10" s="4"/>
      <c r="II10" s="4"/>
      <c r="IK10" s="4"/>
      <c r="IS10" s="2"/>
      <c r="IT10" s="2"/>
      <c r="IV10" s="2"/>
      <c r="IW10" s="4"/>
      <c r="IY10" s="4"/>
      <c r="JH10" s="2"/>
      <c r="JK10" s="4"/>
      <c r="JM10" s="4"/>
      <c r="JZ10" s="2"/>
      <c r="KD10" s="4"/>
      <c r="KF10" s="4"/>
      <c r="KJ10" s="4"/>
      <c r="KT10" s="2"/>
      <c r="KU10" s="2"/>
      <c r="KW10" s="2"/>
      <c r="LC10" s="2"/>
      <c r="LF10" s="2"/>
      <c r="LK10" s="2"/>
      <c r="LT10" s="4"/>
      <c r="LV10" s="4"/>
      <c r="ME10" s="3"/>
      <c r="MN10" s="5"/>
      <c r="NB10" s="2"/>
      <c r="NC10" s="2"/>
      <c r="NJ10" s="2"/>
      <c r="NO10" s="2"/>
      <c r="NT10" s="4"/>
      <c r="NV10" s="4"/>
      <c r="OA10" s="2"/>
      <c r="OB10" s="2"/>
      <c r="ON10" s="2"/>
      <c r="OR10" s="4"/>
      <c r="OT10" s="4"/>
      <c r="PD10" s="2"/>
      <c r="PH10" s="2"/>
      <c r="PQ10" s="2"/>
      <c r="PX10" s="2"/>
      <c r="PZ10" s="2"/>
      <c r="QF10" s="4"/>
      <c r="QH10" s="4"/>
      <c r="QZ10" s="2"/>
      <c r="RA10" s="2"/>
      <c r="RN10" s="4"/>
      <c r="RO10" s="4"/>
      <c r="RR10" s="2"/>
      <c r="RT10" s="2"/>
      <c r="RU10" s="2"/>
      <c r="SA10" s="4"/>
      <c r="SC10" s="4"/>
      <c r="SN10" s="2"/>
      <c r="SQ10" s="4"/>
      <c r="SS10" s="4"/>
      <c r="TH10" s="2"/>
      <c r="TI10" s="2"/>
      <c r="TW10" s="4"/>
    </row>
    <row r="11" spans="1:543">
      <c r="A11">
        <v>1936</v>
      </c>
      <c r="B11">
        <v>8551</v>
      </c>
      <c r="C11">
        <v>6874644557</v>
      </c>
      <c r="D11" t="s">
        <v>97</v>
      </c>
      <c r="E11" t="s">
        <v>98</v>
      </c>
      <c r="F11" t="s">
        <v>99</v>
      </c>
      <c r="G11" s="2">
        <v>32492</v>
      </c>
      <c r="H11" t="s">
        <v>30</v>
      </c>
      <c r="I11" t="s">
        <v>87</v>
      </c>
      <c r="J11" t="s">
        <v>32</v>
      </c>
      <c r="K11" t="s">
        <v>100</v>
      </c>
      <c r="L11" t="s">
        <v>34</v>
      </c>
      <c r="M11" s="2"/>
      <c r="N11" t="s">
        <v>101</v>
      </c>
      <c r="O11" s="2">
        <f>DATE(YEAR(G11) + P11, MONTH(G11), DAY(G11))</f>
        <v>55868</v>
      </c>
      <c r="P11">
        <v>64</v>
      </c>
      <c r="Q11" s="2">
        <v>30838</v>
      </c>
      <c r="R11" t="s">
        <v>36</v>
      </c>
      <c r="S11" t="s">
        <v>102</v>
      </c>
      <c r="T11" s="2">
        <v>43430</v>
      </c>
      <c r="U11" t="s">
        <v>103</v>
      </c>
      <c r="V11" t="s">
        <v>56</v>
      </c>
      <c r="W11">
        <v>24</v>
      </c>
      <c r="X11" s="1">
        <v>39297</v>
      </c>
      <c r="Y11" s="1">
        <v>7859.4000000000005</v>
      </c>
      <c r="Z11" s="1">
        <v>31437.599999999999</v>
      </c>
      <c r="AA11" s="3">
        <v>358</v>
      </c>
      <c r="AJ11" s="3"/>
      <c r="AK11" s="3"/>
      <c r="AM11" s="4"/>
      <c r="AO11" s="4"/>
      <c r="BA11" s="2"/>
      <c r="BB11" s="2"/>
      <c r="BD11" s="4"/>
      <c r="BF11" s="4"/>
      <c r="BM11" s="2"/>
      <c r="BO11" s="4"/>
      <c r="CI11" s="2"/>
      <c r="CJ11" s="2"/>
      <c r="CN11" s="2"/>
      <c r="CQ11" s="2"/>
      <c r="CV11" s="4"/>
      <c r="CX11" s="4"/>
      <c r="DB11" s="2"/>
      <c r="DC11" s="2"/>
      <c r="DE11" s="2"/>
      <c r="DF11" s="2"/>
      <c r="DV11" s="2"/>
      <c r="DW11" s="2"/>
      <c r="EF11" s="4"/>
      <c r="EH11" s="4"/>
      <c r="ER11" s="2"/>
      <c r="ES11" s="2"/>
      <c r="EX11" s="4"/>
      <c r="EZ11" s="4"/>
      <c r="FQ11" s="4"/>
      <c r="FS11" s="4"/>
      <c r="GE11" s="2"/>
      <c r="GJ11" s="4"/>
      <c r="GL11" s="4"/>
      <c r="GS11" s="3"/>
      <c r="GT11" s="3"/>
      <c r="GV11" s="2"/>
      <c r="GX11" s="3"/>
      <c r="GY11" s="3"/>
      <c r="HB11" s="3"/>
      <c r="HS11" s="4"/>
      <c r="HU11" s="4"/>
      <c r="II11" s="4"/>
      <c r="IK11" s="4"/>
      <c r="IS11" s="2"/>
      <c r="IT11" s="2"/>
      <c r="IV11" s="2"/>
      <c r="IW11" s="4"/>
      <c r="IY11" s="4"/>
      <c r="JH11" s="2"/>
      <c r="JK11" s="4"/>
      <c r="JM11" s="4"/>
      <c r="JZ11" s="2"/>
      <c r="KD11" s="4"/>
      <c r="KF11" s="4"/>
      <c r="KJ11" s="4"/>
      <c r="KT11" s="2"/>
      <c r="KU11" s="2"/>
      <c r="KW11" s="2"/>
      <c r="LC11" s="2"/>
      <c r="LF11" s="2"/>
      <c r="LK11" s="2"/>
      <c r="LT11" s="4"/>
      <c r="LV11" s="4"/>
      <c r="MA11" s="3"/>
      <c r="NB11" s="2"/>
      <c r="NC11" s="2"/>
      <c r="NJ11" s="2"/>
      <c r="NN11" s="2"/>
      <c r="NO11" s="2"/>
      <c r="NT11" s="4"/>
      <c r="NV11" s="4"/>
      <c r="OA11" s="2"/>
      <c r="OB11" s="2"/>
      <c r="ON11" s="2"/>
      <c r="OR11" s="4"/>
      <c r="PD11" s="2"/>
      <c r="PH11" s="2"/>
      <c r="PQ11" s="2"/>
      <c r="PX11" s="2"/>
      <c r="PZ11" s="2"/>
      <c r="QF11" s="4"/>
      <c r="QH11" s="4"/>
      <c r="QZ11" s="2"/>
      <c r="RA11" s="2"/>
      <c r="RR11" s="2"/>
      <c r="RT11" s="2"/>
      <c r="RU11" s="2"/>
      <c r="SA11" s="4"/>
      <c r="SC11" s="4"/>
      <c r="SN11" s="2"/>
      <c r="SQ11" s="4"/>
      <c r="SS11" s="4"/>
      <c r="TG11" s="2"/>
      <c r="TH11" s="2"/>
      <c r="TI11" s="2"/>
      <c r="TU11" s="4"/>
      <c r="TW11" s="4"/>
    </row>
    <row r="12" spans="1:543">
      <c r="A12">
        <v>9803</v>
      </c>
      <c r="B12">
        <v>2581</v>
      </c>
      <c r="C12">
        <v>6649500323</v>
      </c>
      <c r="D12" t="s">
        <v>104</v>
      </c>
      <c r="E12" t="s">
        <v>105</v>
      </c>
      <c r="F12" t="s">
        <v>106</v>
      </c>
      <c r="G12" s="2">
        <v>40527</v>
      </c>
      <c r="H12" t="s">
        <v>43</v>
      </c>
      <c r="I12" t="s">
        <v>31</v>
      </c>
      <c r="J12" t="s">
        <v>32</v>
      </c>
      <c r="K12" t="s">
        <v>107</v>
      </c>
      <c r="L12" t="s">
        <v>34</v>
      </c>
      <c r="M12" s="2"/>
      <c r="N12" t="s">
        <v>108</v>
      </c>
      <c r="O12" s="2">
        <f>DATE(YEAR(G12) + P12, MONTH(G12), DAY(G12))</f>
        <v>63538</v>
      </c>
      <c r="P12">
        <v>63</v>
      </c>
      <c r="Q12" s="2"/>
      <c r="R12" t="s">
        <v>47</v>
      </c>
      <c r="S12" t="s">
        <v>109</v>
      </c>
      <c r="T12" s="2">
        <v>41273</v>
      </c>
      <c r="U12" t="s">
        <v>38</v>
      </c>
      <c r="V12" t="s">
        <v>56</v>
      </c>
      <c r="W12">
        <v>9</v>
      </c>
      <c r="X12" s="1">
        <v>61135</v>
      </c>
      <c r="Y12" s="1">
        <v>12227</v>
      </c>
      <c r="Z12" s="1">
        <v>48908</v>
      </c>
      <c r="AA12" s="3">
        <v>443</v>
      </c>
      <c r="AK12" s="3"/>
      <c r="AM12" s="4"/>
      <c r="AO12" s="4"/>
      <c r="BA12" s="2"/>
      <c r="BB12" s="2"/>
      <c r="BD12" s="4"/>
      <c r="BF12" s="4"/>
      <c r="BM12" s="2"/>
      <c r="BQ12" s="4"/>
      <c r="CI12" s="2"/>
      <c r="CJ12" s="2"/>
      <c r="CL12" s="3"/>
      <c r="CN12" s="2"/>
      <c r="CV12" s="4"/>
      <c r="CX12" s="4"/>
      <c r="DB12" s="2"/>
      <c r="DC12" s="2"/>
      <c r="DD12" s="3"/>
      <c r="DE12" s="2"/>
      <c r="DF12" s="2"/>
      <c r="DV12" s="2"/>
      <c r="DW12" s="2"/>
      <c r="EF12" s="4"/>
      <c r="EH12" s="4"/>
      <c r="ER12" s="2"/>
      <c r="ES12" s="2"/>
      <c r="EX12" s="4"/>
      <c r="EZ12" s="4"/>
      <c r="FQ12" s="4"/>
      <c r="FS12" s="4"/>
      <c r="GE12" s="2"/>
      <c r="GG12" s="3"/>
      <c r="GJ12" s="4"/>
      <c r="GL12" s="4"/>
      <c r="GR12" s="2"/>
      <c r="GV12" s="2"/>
      <c r="GW12" s="3"/>
      <c r="GX12" s="3"/>
      <c r="HB12" s="3"/>
      <c r="HP12" s="2"/>
      <c r="HS12" s="4"/>
      <c r="HU12" s="4"/>
      <c r="II12" s="4"/>
      <c r="IK12" s="4"/>
      <c r="IS12" s="2"/>
      <c r="IT12" s="2"/>
      <c r="IV12" s="2"/>
      <c r="IW12" s="4"/>
      <c r="IY12" s="4"/>
      <c r="JH12" s="2"/>
      <c r="JK12" s="4"/>
      <c r="JM12" s="4"/>
      <c r="KD12" s="4"/>
      <c r="KF12" s="4"/>
      <c r="KJ12" s="4"/>
      <c r="KT12" s="2"/>
      <c r="KU12" s="2"/>
      <c r="KW12" s="2"/>
      <c r="LC12" s="2"/>
      <c r="LF12" s="2"/>
      <c r="LK12" s="2"/>
      <c r="LT12" s="4"/>
      <c r="LV12" s="4"/>
      <c r="LZ12" s="3"/>
      <c r="NB12" s="2"/>
      <c r="NC12" s="2"/>
      <c r="NG12" s="5"/>
      <c r="NJ12" s="2"/>
      <c r="NN12" s="2"/>
      <c r="NO12" s="2"/>
      <c r="NT12" s="4"/>
      <c r="NV12" s="4"/>
      <c r="OA12" s="2"/>
      <c r="OB12" s="2"/>
      <c r="ON12" s="2"/>
      <c r="OR12" s="4"/>
      <c r="PD12" s="2"/>
      <c r="PI12" s="3"/>
      <c r="PQ12" s="2"/>
      <c r="PX12" s="2"/>
      <c r="PZ12" s="2"/>
      <c r="QF12" s="4"/>
      <c r="QH12" s="4"/>
      <c r="QJ12" s="3"/>
      <c r="QZ12" s="2"/>
      <c r="RA12" s="2"/>
      <c r="RN12" s="4"/>
      <c r="RO12" s="4"/>
      <c r="RR12" s="2"/>
      <c r="RT12" s="2"/>
      <c r="RU12" s="2"/>
      <c r="SC12" s="4"/>
      <c r="SN12" s="2"/>
      <c r="SQ12" s="4"/>
      <c r="SS12" s="4"/>
      <c r="TG12" s="2"/>
      <c r="TH12" s="2"/>
      <c r="TI12" s="2"/>
      <c r="TU12" s="4"/>
      <c r="TW12" s="4"/>
    </row>
    <row r="13" spans="1:543">
      <c r="A13">
        <v>6807</v>
      </c>
      <c r="B13">
        <v>2451</v>
      </c>
      <c r="C13">
        <v>6086261591</v>
      </c>
      <c r="D13" t="s">
        <v>110</v>
      </c>
      <c r="E13" t="s">
        <v>111</v>
      </c>
      <c r="F13" t="s">
        <v>112</v>
      </c>
      <c r="G13" s="2">
        <v>34332</v>
      </c>
      <c r="H13" t="s">
        <v>30</v>
      </c>
      <c r="I13" t="s">
        <v>113</v>
      </c>
      <c r="J13" t="s">
        <v>32</v>
      </c>
      <c r="K13" t="s">
        <v>114</v>
      </c>
      <c r="L13" t="s">
        <v>77</v>
      </c>
      <c r="M13" s="2"/>
      <c r="N13" t="s">
        <v>115</v>
      </c>
      <c r="O13" s="2">
        <f>DATE(YEAR(G13) + P13, MONTH(G13), DAY(G13))</f>
        <v>58438</v>
      </c>
      <c r="P13">
        <v>66</v>
      </c>
      <c r="Q13" s="2"/>
      <c r="R13" t="s">
        <v>47</v>
      </c>
      <c r="S13" t="s">
        <v>109</v>
      </c>
      <c r="T13" s="2">
        <v>35132</v>
      </c>
      <c r="U13" t="s">
        <v>65</v>
      </c>
      <c r="V13" t="s">
        <v>66</v>
      </c>
      <c r="W13">
        <v>28</v>
      </c>
      <c r="X13" s="1">
        <v>83655</v>
      </c>
      <c r="Y13" s="1">
        <v>16731</v>
      </c>
      <c r="Z13" s="1">
        <v>66924</v>
      </c>
      <c r="AA13" s="3">
        <v>712</v>
      </c>
      <c r="AB13" s="3"/>
      <c r="AK13" s="3"/>
      <c r="AM13" s="4"/>
      <c r="AO13" s="4"/>
      <c r="BA13" s="2"/>
      <c r="BB13" s="2"/>
      <c r="BD13" s="4"/>
      <c r="BF13" s="4"/>
      <c r="BM13" s="2"/>
      <c r="BO13" s="4"/>
      <c r="BQ13" s="4"/>
      <c r="CI13" s="2"/>
      <c r="CJ13" s="2"/>
      <c r="CM13" s="3"/>
      <c r="CN13" s="2"/>
      <c r="CQ13" s="2"/>
      <c r="CV13" s="4"/>
      <c r="CZ13" s="3"/>
      <c r="DB13" s="2"/>
      <c r="DC13" s="2"/>
      <c r="DE13" s="2"/>
      <c r="DF13" s="2"/>
      <c r="DG13" s="3"/>
      <c r="DV13" s="2"/>
      <c r="DW13" s="2"/>
      <c r="DY13" s="3"/>
      <c r="EF13" s="4"/>
      <c r="ER13" s="2"/>
      <c r="ES13" s="2"/>
      <c r="EX13" s="4"/>
      <c r="EZ13" s="4"/>
      <c r="FQ13" s="4"/>
      <c r="FS13" s="4"/>
      <c r="GE13" s="2"/>
      <c r="GG13" s="3"/>
      <c r="GJ13" s="4"/>
      <c r="GL13" s="4"/>
      <c r="GR13" s="2"/>
      <c r="GS13" s="3"/>
      <c r="GV13" s="2"/>
      <c r="GW13" s="3"/>
      <c r="HB13" s="3"/>
      <c r="HN13" s="3"/>
      <c r="HP13" s="2"/>
      <c r="HS13" s="4"/>
      <c r="HU13" s="4"/>
      <c r="II13" s="4"/>
      <c r="IK13" s="4"/>
      <c r="IS13" s="2"/>
      <c r="IT13" s="2"/>
      <c r="IV13" s="2"/>
      <c r="IW13" s="4"/>
      <c r="IY13" s="4"/>
      <c r="JH13" s="2"/>
      <c r="JK13" s="4"/>
      <c r="JM13" s="4"/>
      <c r="JZ13" s="2"/>
      <c r="KD13" s="4"/>
      <c r="KF13" s="4"/>
      <c r="KJ13" s="4"/>
      <c r="KT13" s="2"/>
      <c r="KU13" s="2"/>
      <c r="LC13" s="2"/>
      <c r="LF13" s="2"/>
      <c r="LK13" s="2"/>
      <c r="LT13" s="4"/>
      <c r="LV13" s="4"/>
      <c r="NB13" s="2"/>
      <c r="NC13" s="2"/>
      <c r="NG13" s="5"/>
      <c r="NJ13" s="2"/>
      <c r="NN13" s="2"/>
      <c r="NO13" s="2"/>
      <c r="NT13" s="4"/>
      <c r="NV13" s="4"/>
      <c r="OA13" s="2"/>
      <c r="OB13" s="2"/>
      <c r="ON13" s="2"/>
      <c r="OR13" s="4"/>
      <c r="OT13" s="4"/>
      <c r="PD13" s="2"/>
      <c r="PH13" s="2"/>
      <c r="PQ13" s="2"/>
      <c r="PX13" s="2"/>
      <c r="PZ13" s="2"/>
      <c r="QF13" s="4"/>
      <c r="QH13" s="4"/>
      <c r="QX13" s="3"/>
      <c r="QZ13" s="2"/>
      <c r="RA13" s="2"/>
      <c r="RO13" s="4"/>
      <c r="RR13" s="2"/>
      <c r="RT13" s="2"/>
      <c r="RU13" s="2"/>
      <c r="SA13" s="4"/>
      <c r="SC13" s="4"/>
      <c r="SN13" s="2"/>
      <c r="SQ13" s="4"/>
      <c r="TG13" s="2"/>
      <c r="TI13" s="2"/>
      <c r="TU13" s="4"/>
      <c r="TW13" s="4"/>
    </row>
    <row r="14" spans="1:543">
      <c r="A14">
        <v>2980</v>
      </c>
      <c r="B14">
        <v>8243</v>
      </c>
      <c r="C14">
        <v>3392646743</v>
      </c>
      <c r="D14" t="s">
        <v>116</v>
      </c>
      <c r="E14" t="s">
        <v>117</v>
      </c>
      <c r="F14" t="s">
        <v>118</v>
      </c>
      <c r="G14" s="2">
        <v>39101</v>
      </c>
      <c r="H14" t="s">
        <v>43</v>
      </c>
      <c r="I14" t="s">
        <v>60</v>
      </c>
      <c r="J14" t="s">
        <v>32</v>
      </c>
      <c r="K14" t="s">
        <v>119</v>
      </c>
      <c r="L14" t="s">
        <v>95</v>
      </c>
      <c r="M14" s="2"/>
      <c r="N14" t="s">
        <v>120</v>
      </c>
      <c r="O14" s="2">
        <f>DATE(YEAR(G14) + P14, MONTH(G14), DAY(G14))</f>
        <v>64669</v>
      </c>
      <c r="P14">
        <v>70</v>
      </c>
      <c r="Q14" s="2"/>
      <c r="R14" t="s">
        <v>47</v>
      </c>
      <c r="S14" t="s">
        <v>48</v>
      </c>
      <c r="T14" s="2">
        <v>23504</v>
      </c>
      <c r="U14" t="s">
        <v>38</v>
      </c>
      <c r="V14" t="s">
        <v>56</v>
      </c>
      <c r="W14">
        <v>11</v>
      </c>
      <c r="X14" s="1">
        <v>69450</v>
      </c>
      <c r="Y14" s="1">
        <v>13890</v>
      </c>
      <c r="Z14" s="1">
        <v>55560</v>
      </c>
      <c r="AA14" s="3">
        <v>379</v>
      </c>
      <c r="AK14" s="3"/>
      <c r="AM14" s="4"/>
      <c r="AO14" s="4"/>
      <c r="BA14" s="2"/>
      <c r="BB14" s="2"/>
      <c r="BD14" s="4"/>
      <c r="BF14" s="4"/>
      <c r="BM14" s="2"/>
      <c r="BO14" s="4"/>
      <c r="BQ14" s="4"/>
      <c r="CF14" s="3"/>
      <c r="CI14" s="2"/>
      <c r="CJ14" s="2"/>
      <c r="CM14" s="3"/>
      <c r="CN14" s="2"/>
      <c r="CQ14" s="2"/>
      <c r="CV14" s="4"/>
      <c r="CX14" s="4"/>
      <c r="DB14" s="2"/>
      <c r="DC14" s="2"/>
      <c r="DE14" s="2"/>
      <c r="DF14" s="2"/>
      <c r="DV14" s="2"/>
      <c r="DW14" s="2"/>
      <c r="DY14" s="3"/>
      <c r="EF14" s="4"/>
      <c r="EH14" s="4"/>
      <c r="ER14" s="2"/>
      <c r="ES14" s="2"/>
      <c r="EV14" s="3"/>
      <c r="EX14" s="4"/>
      <c r="EZ14" s="4"/>
      <c r="FQ14" s="4"/>
      <c r="FS14" s="4"/>
      <c r="GE14" s="2"/>
      <c r="GJ14" s="4"/>
      <c r="GL14" s="4"/>
      <c r="GV14" s="2"/>
      <c r="GY14" s="3"/>
      <c r="HB14" s="3"/>
      <c r="HP14" s="2"/>
      <c r="HS14" s="4"/>
      <c r="HU14" s="4"/>
      <c r="II14" s="4"/>
      <c r="IK14" s="4"/>
      <c r="IS14" s="2"/>
      <c r="IT14" s="2"/>
      <c r="IV14" s="2"/>
      <c r="IW14" s="4"/>
      <c r="IY14" s="4"/>
      <c r="JH14" s="2"/>
      <c r="JK14" s="4"/>
      <c r="JM14" s="4"/>
      <c r="JZ14" s="2"/>
      <c r="KD14" s="4"/>
      <c r="KF14" s="4"/>
      <c r="KJ14" s="4"/>
      <c r="KT14" s="2"/>
      <c r="KU14" s="2"/>
      <c r="KW14" s="2"/>
      <c r="LC14" s="2"/>
      <c r="LF14" s="2"/>
      <c r="LK14" s="2"/>
      <c r="LT14" s="4"/>
      <c r="LV14" s="4"/>
      <c r="MJ14" s="3"/>
      <c r="NB14" s="2"/>
      <c r="NC14" s="2"/>
      <c r="NH14" s="3"/>
      <c r="NJ14" s="2"/>
      <c r="NN14" s="2"/>
      <c r="NO14" s="2"/>
      <c r="NT14" s="4"/>
      <c r="NV14" s="4"/>
      <c r="OA14" s="2"/>
      <c r="OB14" s="2"/>
      <c r="ON14" s="2"/>
      <c r="OR14" s="4"/>
      <c r="OT14" s="4"/>
      <c r="PD14" s="2"/>
      <c r="PH14" s="2"/>
      <c r="PP14" s="3"/>
      <c r="PQ14" s="2"/>
      <c r="PZ14" s="2"/>
      <c r="QF14" s="4"/>
      <c r="QZ14" s="2"/>
      <c r="RA14" s="2"/>
      <c r="RN14" s="4"/>
      <c r="RO14" s="4"/>
      <c r="RR14" s="2"/>
      <c r="RT14" s="2"/>
      <c r="RU14" s="2"/>
      <c r="SA14" s="4"/>
      <c r="SC14" s="4"/>
      <c r="SN14" s="2"/>
      <c r="SS14" s="4"/>
      <c r="TG14" s="2"/>
      <c r="TH14" s="2"/>
      <c r="TI14" s="2"/>
      <c r="TU14" s="4"/>
      <c r="TW14" s="4"/>
    </row>
    <row r="15" spans="1:543">
      <c r="A15">
        <v>3760</v>
      </c>
      <c r="B15">
        <v>6300</v>
      </c>
      <c r="C15">
        <v>8273991497</v>
      </c>
      <c r="D15" t="s">
        <v>121</v>
      </c>
      <c r="E15" t="s">
        <v>122</v>
      </c>
      <c r="F15" t="s">
        <v>123</v>
      </c>
      <c r="G15" s="2">
        <v>40277</v>
      </c>
      <c r="H15" t="s">
        <v>30</v>
      </c>
      <c r="I15" t="s">
        <v>124</v>
      </c>
      <c r="J15" t="s">
        <v>32</v>
      </c>
      <c r="K15" t="s">
        <v>125</v>
      </c>
      <c r="L15" t="s">
        <v>34</v>
      </c>
      <c r="M15" s="2"/>
      <c r="N15" t="s">
        <v>126</v>
      </c>
      <c r="O15" s="2">
        <f>DATE(YEAR(G15) + P15, MONTH(G15), DAY(G15))</f>
        <v>62923</v>
      </c>
      <c r="P15">
        <v>62</v>
      </c>
      <c r="Q15" s="2"/>
      <c r="R15" t="s">
        <v>47</v>
      </c>
      <c r="S15" t="s">
        <v>109</v>
      </c>
      <c r="T15" t="s">
        <v>127</v>
      </c>
      <c r="U15" t="s">
        <v>49</v>
      </c>
      <c r="V15" t="s">
        <v>39</v>
      </c>
      <c r="W15">
        <v>28</v>
      </c>
      <c r="X15" s="1">
        <v>45055</v>
      </c>
      <c r="Y15" s="1">
        <v>9011</v>
      </c>
      <c r="Z15" s="1">
        <v>36044</v>
      </c>
      <c r="AA15" s="3">
        <v>581</v>
      </c>
      <c r="AK15" s="3"/>
      <c r="AM15" s="4"/>
      <c r="AO15" s="4"/>
      <c r="BA15" s="2"/>
      <c r="BB15" s="2"/>
      <c r="BD15" s="4"/>
      <c r="BF15" s="4"/>
      <c r="BM15" s="2"/>
      <c r="BO15" s="4"/>
      <c r="BQ15" s="4"/>
      <c r="CI15" s="2"/>
      <c r="CJ15" s="2"/>
      <c r="CN15" s="2"/>
      <c r="CQ15" s="2"/>
      <c r="CV15" s="4"/>
      <c r="CX15" s="4"/>
      <c r="DB15" s="2"/>
      <c r="DC15" s="2"/>
      <c r="DE15" s="2"/>
      <c r="DF15" s="2"/>
      <c r="DV15" s="2"/>
      <c r="DW15" s="2"/>
      <c r="EF15" s="4"/>
      <c r="EH15" s="4"/>
      <c r="ER15" s="2"/>
      <c r="ES15" s="2"/>
      <c r="EX15" s="4"/>
      <c r="EZ15" s="4"/>
      <c r="FQ15" s="4"/>
      <c r="FS15" s="4"/>
      <c r="GE15" s="2"/>
      <c r="GJ15" s="4"/>
      <c r="GL15" s="4"/>
      <c r="GR15" s="2"/>
      <c r="GV15" s="2"/>
      <c r="GX15" s="3"/>
      <c r="HB15" s="3"/>
      <c r="HP15" s="2"/>
      <c r="HS15" s="4"/>
      <c r="HU15" s="4"/>
      <c r="II15" s="4"/>
      <c r="IS15" s="2"/>
      <c r="IT15" s="2"/>
      <c r="IV15" s="2"/>
      <c r="IW15" s="4"/>
      <c r="JH15" s="2"/>
      <c r="JK15" s="4"/>
      <c r="JM15" s="4"/>
      <c r="JZ15" s="2"/>
      <c r="KD15" s="4"/>
      <c r="KF15" s="4"/>
      <c r="KJ15" s="4"/>
      <c r="KT15" s="2"/>
      <c r="LC15" s="2"/>
      <c r="LF15" s="2"/>
      <c r="LK15" s="2"/>
      <c r="LT15" s="4"/>
      <c r="NB15" s="2"/>
      <c r="NC15" s="2"/>
      <c r="NJ15" s="2"/>
      <c r="NN15" s="2"/>
      <c r="NO15" s="2"/>
      <c r="NT15" s="4"/>
      <c r="NV15" s="4"/>
      <c r="OA15" s="2"/>
      <c r="OB15" s="2"/>
      <c r="ON15" s="2"/>
      <c r="OR15" s="4"/>
      <c r="OT15" s="4"/>
      <c r="PD15" s="2"/>
      <c r="PH15" s="2"/>
      <c r="PQ15" s="2"/>
      <c r="PX15" s="2"/>
      <c r="PZ15" s="2"/>
      <c r="QF15" s="4"/>
      <c r="QH15" s="4"/>
      <c r="QZ15" s="2"/>
      <c r="RN15" s="4"/>
      <c r="RO15" s="4"/>
      <c r="RR15" s="2"/>
      <c r="RU15" s="2"/>
      <c r="SC15" s="4"/>
      <c r="SN15" s="2"/>
      <c r="SQ15" s="4"/>
      <c r="SS15" s="4"/>
      <c r="TH15" s="2"/>
      <c r="TI15" s="2"/>
      <c r="TU15" s="4"/>
      <c r="TW15" s="4"/>
    </row>
    <row r="16" spans="1:543">
      <c r="A16">
        <v>3743</v>
      </c>
      <c r="B16">
        <v>6544</v>
      </c>
      <c r="C16">
        <v>4134732831</v>
      </c>
      <c r="D16" t="s">
        <v>97</v>
      </c>
      <c r="E16" t="s">
        <v>128</v>
      </c>
      <c r="F16" t="s">
        <v>129</v>
      </c>
      <c r="G16" s="2">
        <v>39982</v>
      </c>
      <c r="H16" t="s">
        <v>43</v>
      </c>
      <c r="I16" t="s">
        <v>130</v>
      </c>
      <c r="J16" t="s">
        <v>32</v>
      </c>
      <c r="K16" t="s">
        <v>131</v>
      </c>
      <c r="L16" t="s">
        <v>95</v>
      </c>
      <c r="M16" s="2"/>
      <c r="N16" t="s">
        <v>132</v>
      </c>
      <c r="O16" s="2">
        <f>DATE(YEAR(G16) + P16, MONTH(G16), DAY(G16))</f>
        <v>62993</v>
      </c>
      <c r="P16">
        <v>63</v>
      </c>
      <c r="Q16" s="2"/>
      <c r="R16" t="s">
        <v>47</v>
      </c>
      <c r="S16" t="s">
        <v>102</v>
      </c>
      <c r="T16" s="2">
        <v>38177</v>
      </c>
      <c r="U16" t="s">
        <v>133</v>
      </c>
      <c r="V16" t="s">
        <v>39</v>
      </c>
      <c r="W16">
        <v>16</v>
      </c>
      <c r="X16" s="1">
        <v>85425</v>
      </c>
      <c r="Y16" s="1">
        <v>17085</v>
      </c>
      <c r="Z16" s="1">
        <v>68340</v>
      </c>
      <c r="AA16" s="3">
        <v>533</v>
      </c>
      <c r="AK16" s="3"/>
      <c r="AO16" s="4"/>
      <c r="BA16" s="2"/>
      <c r="BB16" s="2"/>
      <c r="BD16" s="4"/>
      <c r="BF16" s="4"/>
      <c r="BM16" s="2"/>
      <c r="BO16" s="4"/>
      <c r="BQ16" s="4"/>
      <c r="CI16" s="2"/>
      <c r="CJ16" s="2"/>
      <c r="CN16" s="2"/>
      <c r="CQ16" s="2"/>
      <c r="CV16" s="4"/>
      <c r="CX16" s="4"/>
      <c r="DB16" s="2"/>
      <c r="DC16" s="2"/>
      <c r="DE16" s="2"/>
      <c r="DF16" s="2"/>
      <c r="DV16" s="2"/>
      <c r="DW16" s="2"/>
      <c r="EC16" s="3"/>
      <c r="EF16" s="4"/>
      <c r="EH16" s="4"/>
      <c r="ER16" s="2"/>
      <c r="ES16" s="2"/>
      <c r="EV16" s="3"/>
      <c r="EX16" s="4"/>
      <c r="FQ16" s="4"/>
      <c r="FS16" s="4"/>
      <c r="GE16" s="2"/>
      <c r="GJ16" s="4"/>
      <c r="GL16" s="4"/>
      <c r="GR16" s="2"/>
      <c r="GT16" s="3"/>
      <c r="GV16" s="2"/>
      <c r="HB16" s="3"/>
      <c r="HP16" s="2"/>
      <c r="HS16" s="4"/>
      <c r="HU16" s="4"/>
      <c r="II16" s="4"/>
      <c r="IK16" s="4"/>
      <c r="IS16" s="2"/>
      <c r="IT16" s="2"/>
      <c r="IV16" s="2"/>
      <c r="IW16" s="4"/>
      <c r="IY16" s="4"/>
      <c r="JH16" s="2"/>
      <c r="JK16" s="4"/>
      <c r="JM16" s="4"/>
      <c r="JZ16" s="2"/>
      <c r="KD16" s="4"/>
      <c r="KF16" s="4"/>
      <c r="KJ16" s="4"/>
      <c r="KT16" s="2"/>
      <c r="KU16" s="2"/>
      <c r="KW16" s="2"/>
      <c r="LC16" s="2"/>
      <c r="LF16" s="2"/>
      <c r="LK16" s="2"/>
      <c r="LT16" s="4"/>
      <c r="LV16" s="4"/>
      <c r="MN16" s="5"/>
      <c r="NB16" s="2"/>
      <c r="NC16" s="2"/>
      <c r="NJ16" s="2"/>
      <c r="NO16" s="2"/>
      <c r="NT16" s="4"/>
      <c r="NV16" s="4"/>
      <c r="OA16" s="2"/>
      <c r="OB16" s="2"/>
      <c r="ON16" s="2"/>
      <c r="OR16" s="4"/>
      <c r="OT16" s="4"/>
      <c r="PD16" s="2"/>
      <c r="PH16" s="2"/>
      <c r="PQ16" s="2"/>
      <c r="PX16" s="2"/>
      <c r="PZ16" s="2"/>
      <c r="QF16" s="4"/>
      <c r="QH16" s="4"/>
      <c r="QX16" s="3"/>
      <c r="QZ16" s="2"/>
      <c r="RA16" s="2"/>
      <c r="RN16" s="4"/>
      <c r="RO16" s="4"/>
      <c r="RR16" s="2"/>
      <c r="RT16" s="2"/>
      <c r="RU16" s="2"/>
      <c r="SC16" s="4"/>
      <c r="SN16" s="2"/>
      <c r="SQ16" s="4"/>
      <c r="SS16" s="4"/>
      <c r="TG16" s="2"/>
      <c r="TH16" s="2"/>
      <c r="TI16" s="2"/>
      <c r="TU16" s="4"/>
      <c r="TW16" s="4"/>
    </row>
    <row r="17" spans="1:543">
      <c r="A17">
        <v>3651</v>
      </c>
      <c r="B17">
        <v>2692</v>
      </c>
      <c r="C17">
        <v>6560614289</v>
      </c>
      <c r="D17" t="s">
        <v>134</v>
      </c>
      <c r="E17" t="s">
        <v>135</v>
      </c>
      <c r="F17" t="s">
        <v>136</v>
      </c>
      <c r="G17" s="2">
        <v>22432</v>
      </c>
      <c r="H17" t="s">
        <v>43</v>
      </c>
      <c r="I17" t="s">
        <v>137</v>
      </c>
      <c r="J17" t="s">
        <v>61</v>
      </c>
      <c r="K17" t="s">
        <v>138</v>
      </c>
      <c r="L17" t="s">
        <v>34</v>
      </c>
      <c r="M17" s="2">
        <v>32845</v>
      </c>
      <c r="N17" t="s">
        <v>139</v>
      </c>
      <c r="O17" s="2">
        <f>DATE(YEAR(G17) + P17, MONTH(G17), DAY(G17))</f>
        <v>47634</v>
      </c>
      <c r="P17">
        <v>69</v>
      </c>
      <c r="Q17" s="2"/>
      <c r="R17" t="s">
        <v>47</v>
      </c>
      <c r="S17" t="s">
        <v>102</v>
      </c>
      <c r="T17" s="2">
        <v>44104</v>
      </c>
      <c r="U17" t="s">
        <v>49</v>
      </c>
      <c r="V17" t="s">
        <v>39</v>
      </c>
      <c r="W17">
        <v>25</v>
      </c>
      <c r="X17" s="1">
        <v>78623</v>
      </c>
      <c r="Y17" s="1">
        <v>15724.6</v>
      </c>
      <c r="Z17" s="1">
        <v>62898.400000000001</v>
      </c>
      <c r="AA17" s="3">
        <v>994</v>
      </c>
      <c r="AK17" s="3"/>
      <c r="AM17" s="4"/>
      <c r="BA17" s="2"/>
      <c r="BB17" s="2"/>
      <c r="BD17" s="4"/>
      <c r="BF17" s="4"/>
      <c r="BM17" s="2"/>
      <c r="BO17" s="4"/>
      <c r="BQ17" s="4"/>
      <c r="CI17" s="2"/>
      <c r="CJ17" s="2"/>
      <c r="CN17" s="2"/>
      <c r="CQ17" s="2"/>
      <c r="CV17" s="4"/>
      <c r="CX17" s="4"/>
      <c r="DB17" s="2"/>
      <c r="DC17" s="2"/>
      <c r="DE17" s="2"/>
      <c r="DF17" s="2"/>
      <c r="DV17" s="2"/>
      <c r="DW17" s="2"/>
      <c r="EF17" s="4"/>
      <c r="EH17" s="4"/>
      <c r="ER17" s="2"/>
      <c r="ES17" s="2"/>
      <c r="EX17" s="4"/>
      <c r="EZ17" s="4"/>
      <c r="FQ17" s="4"/>
      <c r="FS17" s="4"/>
      <c r="GD17" s="3"/>
      <c r="GE17" s="2"/>
      <c r="GL17" s="4"/>
      <c r="GR17" s="2"/>
      <c r="GT17" s="3"/>
      <c r="GV17" s="2"/>
      <c r="GW17" s="3"/>
      <c r="HB17" s="3"/>
      <c r="HP17" s="2"/>
      <c r="HS17" s="4"/>
      <c r="HU17" s="4"/>
      <c r="II17" s="4"/>
      <c r="IK17" s="4"/>
      <c r="IS17" s="2"/>
      <c r="IT17" s="2"/>
      <c r="IV17" s="2"/>
      <c r="IW17" s="4"/>
      <c r="IY17" s="4"/>
      <c r="JK17" s="4"/>
      <c r="JM17" s="4"/>
      <c r="JZ17" s="2"/>
      <c r="KA17" s="3"/>
      <c r="KD17" s="4"/>
      <c r="KF17" s="4"/>
      <c r="KJ17" s="4"/>
      <c r="KT17" s="2"/>
      <c r="KU17" s="2"/>
      <c r="KW17" s="2"/>
      <c r="LC17" s="2"/>
      <c r="LF17" s="2"/>
      <c r="LK17" s="2"/>
      <c r="LT17" s="4"/>
      <c r="NB17" s="2"/>
      <c r="NC17" s="2"/>
      <c r="NJ17" s="2"/>
      <c r="NN17" s="2"/>
      <c r="NO17" s="2"/>
      <c r="NT17" s="4"/>
      <c r="NV17" s="4"/>
      <c r="OA17" s="2"/>
      <c r="OB17" s="2"/>
      <c r="ON17" s="2"/>
      <c r="OR17" s="4"/>
      <c r="OT17" s="4"/>
      <c r="PD17" s="2"/>
      <c r="PH17" s="2"/>
      <c r="PZ17" s="2"/>
      <c r="QF17" s="4"/>
      <c r="QH17" s="4"/>
      <c r="QZ17" s="2"/>
      <c r="RA17" s="2"/>
      <c r="RN17" s="4"/>
      <c r="RO17" s="4"/>
      <c r="RR17" s="2"/>
      <c r="RT17" s="2"/>
      <c r="SA17" s="4"/>
      <c r="SC17" s="4"/>
      <c r="SN17" s="2"/>
      <c r="SQ17" s="4"/>
      <c r="SS17" s="4"/>
      <c r="TG17" s="2"/>
      <c r="TH17" s="2"/>
      <c r="TI17" s="2"/>
      <c r="TU17" s="4"/>
      <c r="TW17" s="4"/>
    </row>
    <row r="18" spans="1:543">
      <c r="A18">
        <v>1353</v>
      </c>
      <c r="B18">
        <v>3965</v>
      </c>
      <c r="C18" s="3" t="s">
        <v>140</v>
      </c>
      <c r="D18" t="s">
        <v>67</v>
      </c>
      <c r="E18" t="s">
        <v>141</v>
      </c>
      <c r="F18" t="s">
        <v>142</v>
      </c>
      <c r="G18" s="2">
        <v>40424</v>
      </c>
      <c r="H18" t="s">
        <v>30</v>
      </c>
      <c r="I18" t="s">
        <v>143</v>
      </c>
      <c r="J18" t="s">
        <v>61</v>
      </c>
      <c r="K18" t="s">
        <v>144</v>
      </c>
      <c r="L18" t="s">
        <v>34</v>
      </c>
      <c r="M18" s="2">
        <v>45832</v>
      </c>
      <c r="N18" t="s">
        <v>145</v>
      </c>
      <c r="O18" s="2">
        <f>DATE(YEAR(G18) + P18, MONTH(G18), DAY(G18))</f>
        <v>62704</v>
      </c>
      <c r="P18">
        <v>61</v>
      </c>
      <c r="Q18" s="2"/>
      <c r="R18" t="s">
        <v>47</v>
      </c>
      <c r="S18" t="s">
        <v>37</v>
      </c>
      <c r="T18" s="2">
        <v>39551</v>
      </c>
      <c r="U18" t="s">
        <v>133</v>
      </c>
      <c r="V18" t="s">
        <v>66</v>
      </c>
      <c r="W18">
        <v>2</v>
      </c>
      <c r="X18" s="1">
        <v>93942</v>
      </c>
      <c r="Y18" s="1">
        <v>18788.400000000001</v>
      </c>
      <c r="Z18" s="1">
        <v>75153.600000000006</v>
      </c>
      <c r="AA18" s="3">
        <v>820</v>
      </c>
      <c r="AK18" s="3"/>
      <c r="AM18" s="4"/>
      <c r="AO18" s="4"/>
      <c r="BA18" s="2"/>
      <c r="BB18" s="2"/>
      <c r="BD18" s="4"/>
      <c r="BM18" s="2"/>
      <c r="BO18" s="4"/>
      <c r="BQ18" s="4"/>
      <c r="CI18" s="2"/>
      <c r="CJ18" s="2"/>
      <c r="CN18" s="2"/>
      <c r="CQ18" s="2"/>
      <c r="CV18" s="4"/>
      <c r="CX18" s="4"/>
      <c r="DB18" s="2"/>
      <c r="DC18" s="2"/>
      <c r="DE18" s="2"/>
      <c r="DF18" s="2"/>
      <c r="DV18" s="2"/>
      <c r="DW18" s="2"/>
      <c r="EF18" s="4"/>
      <c r="EH18" s="4"/>
      <c r="ER18" s="2"/>
      <c r="ES18" s="2"/>
      <c r="EX18" s="4"/>
      <c r="EZ18" s="4"/>
      <c r="FS18" s="4"/>
      <c r="GE18" s="2"/>
      <c r="GJ18" s="4"/>
      <c r="GR18" s="2"/>
      <c r="GS18" s="3"/>
      <c r="GU18" s="3"/>
      <c r="GV18" s="2"/>
      <c r="GX18" s="3"/>
      <c r="GY18" s="3"/>
      <c r="HB18" s="3"/>
      <c r="HP18" s="2"/>
      <c r="HS18" s="4"/>
      <c r="HU18" s="4"/>
      <c r="II18" s="4"/>
      <c r="IK18" s="4"/>
      <c r="IS18" s="2"/>
      <c r="IT18" s="2"/>
      <c r="IV18" s="2"/>
      <c r="IW18" s="4"/>
      <c r="JH18" s="2"/>
      <c r="JK18" s="4"/>
      <c r="JZ18" s="2"/>
      <c r="KC18" s="3"/>
      <c r="KD18" s="4"/>
      <c r="KJ18" s="4"/>
      <c r="KT18" s="2"/>
      <c r="KU18" s="2"/>
      <c r="KW18" s="2"/>
      <c r="LF18" s="2"/>
      <c r="LK18" s="2"/>
      <c r="LT18" s="4"/>
      <c r="LV18" s="4"/>
      <c r="MC18" s="3"/>
      <c r="ML18" s="3"/>
      <c r="NB18" s="2"/>
      <c r="NC18" s="2"/>
      <c r="NJ18" s="2"/>
      <c r="NM18" s="3"/>
      <c r="NN18" s="2"/>
      <c r="NT18" s="4"/>
      <c r="OB18" s="2"/>
      <c r="ON18" s="2"/>
      <c r="OR18" s="4"/>
      <c r="OT18" s="4"/>
      <c r="PD18" s="2"/>
      <c r="PG18" s="3"/>
      <c r="PH18" s="2"/>
      <c r="PX18" s="2"/>
      <c r="PZ18" s="2"/>
      <c r="QF18" s="4"/>
      <c r="QH18" s="4"/>
      <c r="QZ18" s="2"/>
      <c r="RA18" s="2"/>
      <c r="RN18" s="4"/>
      <c r="RO18" s="4"/>
      <c r="RR18" s="2"/>
      <c r="RT18" s="2"/>
      <c r="RU18" s="2"/>
      <c r="SA18" s="4"/>
      <c r="SC18" s="4"/>
      <c r="SN18" s="2"/>
      <c r="SQ18" s="4"/>
      <c r="SS18" s="4"/>
      <c r="TG18" s="2"/>
      <c r="TH18" s="2"/>
      <c r="TI18" s="2"/>
      <c r="TO18" s="3"/>
      <c r="TU18" s="4"/>
      <c r="TW18" s="4"/>
    </row>
    <row r="19" spans="1:543">
      <c r="A19">
        <v>3690</v>
      </c>
      <c r="B19">
        <v>9797</v>
      </c>
      <c r="C19">
        <v>9029350526</v>
      </c>
      <c r="D19" t="s">
        <v>50</v>
      </c>
      <c r="E19" t="s">
        <v>146</v>
      </c>
      <c r="F19" t="s">
        <v>147</v>
      </c>
      <c r="G19" s="2">
        <v>32835</v>
      </c>
      <c r="H19" t="s">
        <v>43</v>
      </c>
      <c r="I19" t="s">
        <v>148</v>
      </c>
      <c r="J19" t="s">
        <v>61</v>
      </c>
      <c r="K19" t="s">
        <v>149</v>
      </c>
      <c r="L19" t="s">
        <v>95</v>
      </c>
      <c r="M19" s="2">
        <v>38655</v>
      </c>
      <c r="N19" t="s">
        <v>150</v>
      </c>
      <c r="O19" s="2">
        <f>DATE(YEAR(G19) + P19, MONTH(G19), DAY(G19))</f>
        <v>58037</v>
      </c>
      <c r="P19">
        <v>69</v>
      </c>
      <c r="Q19" s="2"/>
      <c r="R19" t="s">
        <v>47</v>
      </c>
      <c r="S19" t="s">
        <v>102</v>
      </c>
      <c r="T19" t="s">
        <v>151</v>
      </c>
      <c r="U19" t="s">
        <v>49</v>
      </c>
      <c r="V19" t="s">
        <v>38</v>
      </c>
      <c r="W19">
        <v>18</v>
      </c>
      <c r="X19" s="1">
        <v>96601</v>
      </c>
      <c r="Y19" s="1">
        <v>19320.2</v>
      </c>
      <c r="Z19" s="1">
        <v>77280.800000000003</v>
      </c>
      <c r="AA19" s="3">
        <v>458</v>
      </c>
      <c r="AK19" s="3"/>
      <c r="AM19" s="4"/>
      <c r="AO19" s="4"/>
      <c r="BA19" s="2"/>
      <c r="BB19" s="2"/>
      <c r="BD19" s="4"/>
      <c r="BM19" s="2"/>
      <c r="BO19" s="4"/>
      <c r="BQ19" s="4"/>
      <c r="CJ19" s="2"/>
      <c r="CK19" s="3"/>
      <c r="CN19" s="2"/>
      <c r="CQ19" s="2"/>
      <c r="CV19" s="4"/>
      <c r="CX19" s="4"/>
      <c r="DB19" s="2"/>
      <c r="DC19" s="2"/>
      <c r="DE19" s="2"/>
      <c r="DF19" s="2"/>
      <c r="DV19" s="2"/>
      <c r="DW19" s="2"/>
      <c r="EC19" s="3"/>
      <c r="EH19" s="4"/>
      <c r="ER19" s="2"/>
      <c r="ES19" s="2"/>
      <c r="EU19" s="3"/>
      <c r="EZ19" s="4"/>
      <c r="FQ19" s="4"/>
      <c r="FS19" s="4"/>
      <c r="GE19" s="2"/>
      <c r="GJ19" s="4"/>
      <c r="GL19" s="4"/>
      <c r="GT19" s="3"/>
      <c r="GU19" s="3"/>
      <c r="GV19" s="2"/>
      <c r="GX19" s="3"/>
      <c r="GY19" s="3"/>
      <c r="HB19" s="3"/>
      <c r="HS19" s="4"/>
      <c r="HU19" s="4"/>
      <c r="II19" s="4"/>
      <c r="IK19" s="4"/>
      <c r="IS19" s="2"/>
      <c r="IT19" s="2"/>
      <c r="IV19" s="2"/>
      <c r="IW19" s="4"/>
      <c r="IY19" s="4"/>
      <c r="JH19" s="2"/>
      <c r="JK19" s="4"/>
      <c r="JM19" s="4"/>
      <c r="KD19" s="4"/>
      <c r="KF19" s="4"/>
      <c r="KJ19" s="4"/>
      <c r="KT19" s="2"/>
      <c r="KU19" s="2"/>
      <c r="KW19" s="2"/>
      <c r="LC19" s="2"/>
      <c r="LF19" s="2"/>
      <c r="LK19" s="2"/>
      <c r="LT19" s="4"/>
      <c r="LV19" s="4"/>
      <c r="ME19" s="3"/>
      <c r="NB19" s="2"/>
      <c r="NC19" s="2"/>
      <c r="NJ19" s="2"/>
      <c r="NN19" s="2"/>
      <c r="NO19" s="2"/>
      <c r="NT19" s="4"/>
      <c r="NV19" s="4"/>
      <c r="OA19" s="2"/>
      <c r="OB19" s="2"/>
      <c r="OR19" s="4"/>
      <c r="OT19" s="4"/>
      <c r="PD19" s="2"/>
      <c r="PH19" s="2"/>
      <c r="PQ19" s="2"/>
      <c r="PX19" s="2"/>
      <c r="PZ19" s="2"/>
      <c r="QF19" s="4"/>
      <c r="QH19" s="4"/>
      <c r="QZ19" s="2"/>
      <c r="RA19" s="2"/>
      <c r="RN19" s="4"/>
      <c r="RO19" s="4"/>
      <c r="RR19" s="2"/>
      <c r="RT19" s="2"/>
      <c r="RU19" s="2"/>
      <c r="SA19" s="4"/>
      <c r="SC19" s="4"/>
      <c r="SM19" s="3"/>
      <c r="SN19" s="2"/>
      <c r="SQ19" s="4"/>
      <c r="SS19" s="4"/>
      <c r="TG19" s="2"/>
      <c r="TH19" s="2"/>
      <c r="TI19" s="2"/>
      <c r="TU19" s="4"/>
      <c r="TW19" s="4"/>
    </row>
    <row r="20" spans="1:543">
      <c r="A20">
        <v>7955</v>
      </c>
      <c r="B20">
        <v>204</v>
      </c>
      <c r="C20">
        <v>6015044884</v>
      </c>
      <c r="D20" t="s">
        <v>110</v>
      </c>
      <c r="E20" t="s">
        <v>152</v>
      </c>
      <c r="F20" t="s">
        <v>153</v>
      </c>
      <c r="G20" s="2">
        <v>40444</v>
      </c>
      <c r="H20" t="s">
        <v>30</v>
      </c>
      <c r="I20" t="s">
        <v>44</v>
      </c>
      <c r="J20" t="s">
        <v>32</v>
      </c>
      <c r="K20" t="s">
        <v>154</v>
      </c>
      <c r="L20" t="s">
        <v>77</v>
      </c>
      <c r="M20" s="2"/>
      <c r="N20" t="s">
        <v>155</v>
      </c>
      <c r="O20" s="2">
        <f>DATE(YEAR(G20) + P20, MONTH(G20), DAY(G20))</f>
        <v>63820</v>
      </c>
      <c r="P20">
        <v>64</v>
      </c>
      <c r="Q20" s="2"/>
      <c r="R20" t="s">
        <v>47</v>
      </c>
      <c r="S20" t="s">
        <v>64</v>
      </c>
      <c r="T20" s="2">
        <v>43957</v>
      </c>
      <c r="U20" t="s">
        <v>65</v>
      </c>
      <c r="V20" t="s">
        <v>39</v>
      </c>
      <c r="W20">
        <v>8</v>
      </c>
      <c r="X20" s="1">
        <v>15850</v>
      </c>
      <c r="Y20" s="1">
        <v>3170</v>
      </c>
      <c r="Z20" s="1">
        <v>12680</v>
      </c>
      <c r="AA20" s="3">
        <v>312</v>
      </c>
      <c r="AK20" s="3"/>
      <c r="AM20" s="4"/>
      <c r="AO20" s="4"/>
      <c r="BA20" s="2"/>
      <c r="BB20" s="2"/>
      <c r="BD20" s="4"/>
      <c r="BF20" s="4"/>
      <c r="BM20" s="2"/>
      <c r="BO20" s="4"/>
      <c r="BQ20" s="4"/>
      <c r="CI20" s="2"/>
      <c r="CJ20" s="2"/>
      <c r="CN20" s="2"/>
      <c r="CQ20" s="2"/>
      <c r="CV20" s="4"/>
      <c r="DB20" s="2"/>
      <c r="DC20" s="2"/>
      <c r="DE20" s="2"/>
      <c r="DF20" s="2"/>
      <c r="DV20" s="2"/>
      <c r="DW20" s="2"/>
      <c r="EF20" s="4"/>
      <c r="EH20" s="4"/>
      <c r="ER20" s="2"/>
      <c r="ES20" s="2"/>
      <c r="EX20" s="4"/>
      <c r="EZ20" s="4"/>
      <c r="FQ20" s="4"/>
      <c r="FS20" s="4"/>
      <c r="GE20" s="2"/>
      <c r="GJ20" s="4"/>
      <c r="GL20" s="4"/>
      <c r="GR20" s="2"/>
      <c r="GU20" s="3"/>
      <c r="GV20" s="2"/>
      <c r="GY20" s="3"/>
      <c r="HP20" s="2"/>
      <c r="HS20" s="4"/>
      <c r="HU20" s="4"/>
      <c r="IF20" s="3"/>
      <c r="II20" s="4"/>
      <c r="IK20" s="4"/>
      <c r="IS20" s="2"/>
      <c r="IT20" s="2"/>
      <c r="IV20" s="2"/>
      <c r="IW20" s="4"/>
      <c r="IY20" s="4"/>
      <c r="JH20" s="2"/>
      <c r="JK20" s="4"/>
      <c r="JM20" s="4"/>
      <c r="JZ20" s="2"/>
      <c r="KD20" s="4"/>
      <c r="KF20" s="4"/>
      <c r="KJ20" s="4"/>
      <c r="KT20" s="2"/>
      <c r="KU20" s="2"/>
      <c r="KW20" s="2"/>
      <c r="LC20" s="2"/>
      <c r="LF20" s="2"/>
      <c r="LK20" s="2"/>
      <c r="LM20" s="3"/>
      <c r="LT20" s="4"/>
      <c r="LV20" s="4"/>
      <c r="NB20" s="2"/>
      <c r="NH20" s="3"/>
      <c r="NJ20" s="2"/>
      <c r="NN20" s="2"/>
      <c r="NO20" s="2"/>
      <c r="NT20" s="4"/>
      <c r="NV20" s="4"/>
      <c r="OA20" s="2"/>
      <c r="OB20" s="2"/>
      <c r="ON20" s="2"/>
      <c r="OR20" s="4"/>
      <c r="OT20" s="4"/>
      <c r="PD20" s="2"/>
      <c r="PH20" s="2"/>
      <c r="PQ20" s="2"/>
      <c r="PX20" s="2"/>
      <c r="PZ20" s="2"/>
      <c r="QF20" s="4"/>
      <c r="QH20" s="4"/>
      <c r="QZ20" s="2"/>
      <c r="RA20" s="2"/>
      <c r="RN20" s="4"/>
      <c r="RO20" s="4"/>
      <c r="RR20" s="2"/>
      <c r="RT20" s="2"/>
      <c r="RU20" s="2"/>
      <c r="SA20" s="4"/>
      <c r="SC20" s="4"/>
      <c r="SN20" s="2"/>
      <c r="SQ20" s="4"/>
      <c r="SS20" s="4"/>
      <c r="TG20" s="2"/>
      <c r="TH20" s="2"/>
      <c r="TI20" s="2"/>
      <c r="TU20" s="4"/>
      <c r="TW20" s="4"/>
    </row>
    <row r="21" spans="1:543">
      <c r="A21">
        <v>6033</v>
      </c>
      <c r="B21">
        <v>1442</v>
      </c>
      <c r="C21">
        <v>8393397444</v>
      </c>
      <c r="D21" t="s">
        <v>156</v>
      </c>
      <c r="E21" t="s">
        <v>157</v>
      </c>
      <c r="F21" t="s">
        <v>158</v>
      </c>
      <c r="G21" s="2">
        <v>40398</v>
      </c>
      <c r="H21" t="s">
        <v>30</v>
      </c>
      <c r="I21" t="s">
        <v>148</v>
      </c>
      <c r="J21" t="s">
        <v>32</v>
      </c>
      <c r="K21" t="s">
        <v>159</v>
      </c>
      <c r="L21" t="s">
        <v>77</v>
      </c>
      <c r="M21" s="2"/>
      <c r="N21" t="s">
        <v>160</v>
      </c>
      <c r="O21" s="2">
        <f>DATE(YEAR(G21) + P21, MONTH(G21), DAY(G21))</f>
        <v>62313</v>
      </c>
      <c r="P21">
        <v>60</v>
      </c>
      <c r="Q21" s="2"/>
      <c r="R21" t="s">
        <v>47</v>
      </c>
      <c r="S21" t="s">
        <v>109</v>
      </c>
      <c r="T21" s="2">
        <v>26990</v>
      </c>
      <c r="U21" t="s">
        <v>38</v>
      </c>
      <c r="V21" t="s">
        <v>38</v>
      </c>
      <c r="W21">
        <v>4</v>
      </c>
      <c r="X21" s="1">
        <v>83448</v>
      </c>
      <c r="Y21" s="1">
        <v>16689.600000000002</v>
      </c>
      <c r="Z21" s="1">
        <v>66758.399999999994</v>
      </c>
      <c r="AA21" s="3">
        <v>55</v>
      </c>
      <c r="AB21" s="3"/>
      <c r="AK21" s="3"/>
      <c r="AM21" s="4"/>
      <c r="AO21" s="4"/>
      <c r="BA21" s="2"/>
      <c r="BB21" s="2"/>
      <c r="BD21" s="4"/>
      <c r="BF21" s="4"/>
      <c r="BM21" s="2"/>
      <c r="BO21" s="4"/>
      <c r="CG21" s="3"/>
      <c r="CI21" s="2"/>
      <c r="CJ21" s="2"/>
      <c r="CN21" s="2"/>
      <c r="CQ21" s="2"/>
      <c r="CV21" s="4"/>
      <c r="CX21" s="4"/>
      <c r="DB21" s="2"/>
      <c r="DC21" s="2"/>
      <c r="DE21" s="2"/>
      <c r="DF21" s="2"/>
      <c r="DV21" s="2"/>
      <c r="EF21" s="4"/>
      <c r="EH21" s="4"/>
      <c r="ER21" s="2"/>
      <c r="EX21" s="4"/>
      <c r="EZ21" s="4"/>
      <c r="FQ21" s="4"/>
      <c r="FS21" s="4"/>
      <c r="GJ21" s="4"/>
      <c r="GL21" s="4"/>
      <c r="GR21" s="2"/>
      <c r="GU21" s="3"/>
      <c r="GW21" s="3"/>
      <c r="GX21" s="3"/>
      <c r="GY21" s="3"/>
      <c r="HB21" s="3"/>
      <c r="HP21" s="2"/>
      <c r="HS21" s="4"/>
      <c r="HU21" s="4"/>
      <c r="II21" s="4"/>
      <c r="IK21" s="4"/>
      <c r="IS21" s="2"/>
      <c r="IT21" s="2"/>
      <c r="IV21" s="2"/>
      <c r="IW21" s="4"/>
      <c r="IY21" s="4"/>
      <c r="JH21" s="2"/>
      <c r="JK21" s="4"/>
      <c r="JM21" s="4"/>
      <c r="KD21" s="4"/>
      <c r="KF21" s="4"/>
      <c r="KJ21" s="4"/>
      <c r="KT21" s="2"/>
      <c r="KU21" s="2"/>
      <c r="KW21" s="2"/>
      <c r="LC21" s="2"/>
      <c r="LF21" s="2"/>
      <c r="LK21" s="2"/>
      <c r="LT21" s="4"/>
      <c r="LV21" s="4"/>
      <c r="NB21" s="2"/>
      <c r="NC21" s="2"/>
      <c r="NG21" s="5"/>
      <c r="NJ21" s="2"/>
      <c r="NO21" s="2"/>
      <c r="NT21" s="4"/>
      <c r="NV21" s="4"/>
      <c r="OA21" s="2"/>
      <c r="OB21" s="2"/>
      <c r="OR21" s="4"/>
      <c r="OT21" s="4"/>
      <c r="PH21" s="2"/>
      <c r="PQ21" s="2"/>
      <c r="PX21" s="2"/>
      <c r="PZ21" s="2"/>
      <c r="QF21" s="4"/>
      <c r="QH21" s="4"/>
      <c r="QZ21" s="2"/>
      <c r="RA21" s="2"/>
      <c r="RN21" s="4"/>
      <c r="RR21" s="2"/>
      <c r="RT21" s="2"/>
      <c r="RU21" s="2"/>
      <c r="SA21" s="4"/>
      <c r="SC21" s="4"/>
      <c r="SN21" s="2"/>
      <c r="SQ21" s="4"/>
      <c r="SS21" s="4"/>
      <c r="TG21" s="2"/>
      <c r="TH21" s="2"/>
      <c r="TU21" s="4"/>
      <c r="TW21" s="4"/>
    </row>
    <row r="22" spans="1:543">
      <c r="A22">
        <v>8138</v>
      </c>
      <c r="B22">
        <v>4809</v>
      </c>
      <c r="C22">
        <v>5415859917</v>
      </c>
      <c r="D22" t="s">
        <v>161</v>
      </c>
      <c r="E22" t="s">
        <v>162</v>
      </c>
      <c r="F22" t="s">
        <v>163</v>
      </c>
      <c r="G22" s="2">
        <v>37301</v>
      </c>
      <c r="H22" t="s">
        <v>30</v>
      </c>
      <c r="I22" t="s">
        <v>87</v>
      </c>
      <c r="J22" t="s">
        <v>32</v>
      </c>
      <c r="K22" t="s">
        <v>164</v>
      </c>
      <c r="L22" t="s">
        <v>95</v>
      </c>
      <c r="M22" s="2"/>
      <c r="N22" t="s">
        <v>165</v>
      </c>
      <c r="O22" s="2">
        <f>DATE(YEAR(G22) + P22, MONTH(G22), DAY(G22))</f>
        <v>59216</v>
      </c>
      <c r="P22">
        <v>60</v>
      </c>
      <c r="Q22" s="2"/>
      <c r="R22" t="s">
        <v>47</v>
      </c>
      <c r="S22" t="s">
        <v>102</v>
      </c>
      <c r="T22" s="2">
        <v>42855</v>
      </c>
      <c r="U22" t="s">
        <v>103</v>
      </c>
      <c r="V22" t="s">
        <v>66</v>
      </c>
      <c r="W22">
        <v>3</v>
      </c>
      <c r="X22" s="1">
        <v>4049</v>
      </c>
      <c r="Y22" s="1">
        <v>809.80000000000007</v>
      </c>
      <c r="Z22" s="1">
        <v>3239.2</v>
      </c>
      <c r="AA22" s="3">
        <v>76</v>
      </c>
      <c r="AJ22" s="3"/>
      <c r="AK22" s="3"/>
      <c r="AM22" s="4"/>
      <c r="AO22" s="4"/>
      <c r="BA22" s="2"/>
      <c r="BB22" s="2"/>
      <c r="BD22" s="4"/>
      <c r="BF22" s="4"/>
      <c r="BM22" s="2"/>
      <c r="BO22" s="4"/>
      <c r="BQ22" s="4"/>
      <c r="CJ22" s="2"/>
      <c r="CN22" s="2"/>
      <c r="CP22" s="3"/>
      <c r="CQ22" s="2"/>
      <c r="CV22" s="4"/>
      <c r="CX22" s="4"/>
      <c r="DB22" s="2"/>
      <c r="DC22" s="2"/>
      <c r="DE22" s="2"/>
      <c r="DF22" s="2"/>
      <c r="DV22" s="2"/>
      <c r="EF22" s="4"/>
      <c r="EH22" s="4"/>
      <c r="ER22" s="2"/>
      <c r="ES22" s="2"/>
      <c r="EZ22" s="4"/>
      <c r="FS22" s="4"/>
      <c r="GE22" s="2"/>
      <c r="GL22" s="4"/>
      <c r="GR22" s="2"/>
      <c r="GS22" s="3"/>
      <c r="GT22" s="3"/>
      <c r="GV22" s="2"/>
      <c r="GW22" s="3"/>
      <c r="HB22" s="3"/>
      <c r="HP22" s="2"/>
      <c r="HS22" s="4"/>
      <c r="II22" s="4"/>
      <c r="IK22" s="4"/>
      <c r="IS22" s="2"/>
      <c r="IT22" s="2"/>
      <c r="IV22" s="2"/>
      <c r="IW22" s="4"/>
      <c r="IY22" s="4"/>
      <c r="JH22" s="2"/>
      <c r="JK22" s="4"/>
      <c r="JM22" s="4"/>
      <c r="JZ22" s="2"/>
      <c r="KD22" s="4"/>
      <c r="KF22" s="4"/>
      <c r="KI22" s="3"/>
      <c r="KJ22" s="4"/>
      <c r="KT22" s="2"/>
      <c r="KU22" s="2"/>
      <c r="KW22" s="2"/>
      <c r="LC22" s="2"/>
      <c r="LF22" s="2"/>
      <c r="LK22" s="2"/>
      <c r="LT22" s="4"/>
      <c r="LV22" s="4"/>
      <c r="NB22" s="2"/>
      <c r="NC22" s="2"/>
      <c r="NJ22" s="2"/>
      <c r="NM22" s="3"/>
      <c r="NN22" s="2"/>
      <c r="NO22" s="2"/>
      <c r="NT22" s="4"/>
      <c r="NV22" s="4"/>
      <c r="OA22" s="2"/>
      <c r="OB22" s="2"/>
      <c r="ON22" s="2"/>
      <c r="OR22" s="4"/>
      <c r="OT22" s="4"/>
      <c r="PD22" s="2"/>
      <c r="PH22" s="2"/>
      <c r="PQ22" s="2"/>
      <c r="PX22" s="2"/>
      <c r="PZ22" s="2"/>
      <c r="QF22" s="4"/>
      <c r="QH22" s="4"/>
      <c r="QZ22" s="2"/>
      <c r="RA22" s="2"/>
      <c r="RN22" s="4"/>
      <c r="RO22" s="4"/>
      <c r="RR22" s="2"/>
      <c r="RT22" s="2"/>
      <c r="RU22" s="2"/>
      <c r="SA22" s="4"/>
      <c r="SC22" s="4"/>
      <c r="SN22" s="2"/>
      <c r="SQ22" s="4"/>
      <c r="SS22" s="4"/>
      <c r="TG22" s="2"/>
      <c r="TH22" s="2"/>
      <c r="TI22" s="2"/>
      <c r="TU22" s="4"/>
      <c r="TW22" s="4"/>
    </row>
    <row r="23" spans="1:543">
      <c r="A23">
        <v>8813</v>
      </c>
      <c r="B23">
        <v>7446</v>
      </c>
      <c r="C23">
        <v>1549660992</v>
      </c>
      <c r="D23" t="s">
        <v>166</v>
      </c>
      <c r="E23" t="s">
        <v>167</v>
      </c>
      <c r="F23" t="s">
        <v>168</v>
      </c>
      <c r="G23" s="2">
        <v>46333</v>
      </c>
      <c r="H23" t="s">
        <v>43</v>
      </c>
      <c r="I23" t="s">
        <v>169</v>
      </c>
      <c r="J23" t="s">
        <v>32</v>
      </c>
      <c r="K23" t="s">
        <v>170</v>
      </c>
      <c r="L23" t="s">
        <v>95</v>
      </c>
      <c r="M23" s="2"/>
      <c r="N23" t="s">
        <v>171</v>
      </c>
      <c r="O23" s="2">
        <f>DATE(YEAR(G23) + P23, MONTH(G23), DAY(G23))</f>
        <v>71535</v>
      </c>
      <c r="P23">
        <v>69</v>
      </c>
      <c r="Q23" s="2"/>
      <c r="R23" t="s">
        <v>47</v>
      </c>
      <c r="S23" t="s">
        <v>64</v>
      </c>
      <c r="T23" s="2">
        <v>45988</v>
      </c>
      <c r="U23" t="s">
        <v>49</v>
      </c>
      <c r="V23" t="s">
        <v>66</v>
      </c>
      <c r="W23">
        <v>9</v>
      </c>
      <c r="X23" s="1">
        <v>96445</v>
      </c>
      <c r="Y23" s="1">
        <v>19289</v>
      </c>
      <c r="Z23" s="1">
        <v>77156</v>
      </c>
      <c r="AA23" s="3">
        <v>255</v>
      </c>
      <c r="AK23" s="3"/>
      <c r="AM23" s="4"/>
      <c r="AO23" s="4"/>
      <c r="BA23" s="2"/>
      <c r="BB23" s="2"/>
      <c r="BD23" s="4"/>
      <c r="BF23" s="4"/>
      <c r="BM23" s="2"/>
      <c r="BO23" s="4"/>
      <c r="BQ23" s="4"/>
      <c r="CI23" s="2"/>
      <c r="CJ23" s="2"/>
      <c r="CN23" s="2"/>
      <c r="CQ23" s="2"/>
      <c r="CV23" s="4"/>
      <c r="CX23" s="4"/>
      <c r="CZ23" s="3"/>
      <c r="DB23" s="2"/>
      <c r="DC23" s="2"/>
      <c r="DE23" s="2"/>
      <c r="DF23" s="2"/>
      <c r="DV23" s="2"/>
      <c r="DW23" s="2"/>
      <c r="DX23" s="3"/>
      <c r="DY23" s="3"/>
      <c r="EC23" s="2"/>
      <c r="EF23" s="4"/>
      <c r="EH23" s="4"/>
      <c r="ER23" s="2"/>
      <c r="ES23" s="2"/>
      <c r="EX23" s="4"/>
      <c r="EZ23" s="4"/>
      <c r="FQ23" s="4"/>
      <c r="GE23" s="2"/>
      <c r="GJ23" s="4"/>
      <c r="GL23" s="4"/>
      <c r="GR23" s="2"/>
      <c r="GS23" s="3"/>
      <c r="GT23" s="3"/>
      <c r="GV23" s="2"/>
      <c r="GX23" s="3"/>
      <c r="HB23" s="3"/>
      <c r="HP23" s="2"/>
      <c r="HS23" s="4"/>
      <c r="HU23" s="4"/>
      <c r="II23" s="4"/>
      <c r="IK23" s="4"/>
      <c r="IS23" s="2"/>
      <c r="IT23" s="2"/>
      <c r="IV23" s="2"/>
      <c r="IW23" s="4"/>
      <c r="IY23" s="4"/>
      <c r="JH23" s="2"/>
      <c r="JK23" s="4"/>
      <c r="JM23" s="4"/>
      <c r="JZ23" s="2"/>
      <c r="KD23" s="4"/>
      <c r="KF23" s="4"/>
      <c r="KJ23" s="4"/>
      <c r="KU23" s="2"/>
      <c r="KW23" s="2"/>
      <c r="LC23" s="2"/>
      <c r="LF23" s="2"/>
      <c r="LK23" s="2"/>
      <c r="LM23" s="3"/>
      <c r="LT23" s="4"/>
      <c r="LV23" s="4"/>
      <c r="LZ23" s="3"/>
      <c r="MC23" s="3"/>
      <c r="NB23" s="2"/>
      <c r="NC23" s="2"/>
      <c r="NJ23" s="2"/>
      <c r="NN23" s="2"/>
      <c r="NO23" s="2"/>
      <c r="NP23" s="3"/>
      <c r="NT23" s="4"/>
      <c r="NV23" s="4"/>
      <c r="OA23" s="2"/>
      <c r="OB23" s="2"/>
      <c r="OK23" s="3"/>
      <c r="OR23" s="4"/>
      <c r="OT23" s="4"/>
      <c r="PD23" s="2"/>
      <c r="PH23" s="2"/>
      <c r="PQ23" s="2"/>
      <c r="PX23" s="2"/>
      <c r="QF23" s="4"/>
      <c r="QH23" s="4"/>
      <c r="QZ23" s="2"/>
      <c r="RA23" s="2"/>
      <c r="RM23" s="3"/>
      <c r="RN23" s="4"/>
      <c r="RO23" s="4"/>
      <c r="RR23" s="2"/>
      <c r="RT23" s="2"/>
      <c r="RU23" s="2"/>
      <c r="SA23" s="4"/>
      <c r="SC23" s="4"/>
      <c r="SN23" s="2"/>
      <c r="SQ23" s="4"/>
      <c r="SS23" s="4"/>
      <c r="TG23" s="2"/>
      <c r="TH23" s="2"/>
      <c r="TU23" s="4"/>
    </row>
    <row r="24" spans="1:543">
      <c r="A24">
        <v>7977</v>
      </c>
      <c r="B24">
        <v>4330</v>
      </c>
      <c r="C24">
        <v>6568403489</v>
      </c>
      <c r="D24" t="s">
        <v>172</v>
      </c>
      <c r="E24" t="s">
        <v>173</v>
      </c>
      <c r="F24" t="s">
        <v>174</v>
      </c>
      <c r="G24" s="2">
        <v>27304</v>
      </c>
      <c r="H24" t="s">
        <v>30</v>
      </c>
      <c r="I24" t="s">
        <v>75</v>
      </c>
      <c r="J24" t="s">
        <v>32</v>
      </c>
      <c r="K24" t="s">
        <v>175</v>
      </c>
      <c r="L24" t="s">
        <v>77</v>
      </c>
      <c r="M24" s="2"/>
      <c r="N24" t="s">
        <v>176</v>
      </c>
      <c r="O24" s="2">
        <f>DATE(YEAR(G24) + P24, MONTH(G24), DAY(G24))</f>
        <v>49950</v>
      </c>
      <c r="P24">
        <v>62</v>
      </c>
      <c r="Q24" s="2"/>
      <c r="R24" t="s">
        <v>36</v>
      </c>
      <c r="S24" t="s">
        <v>64</v>
      </c>
      <c r="T24" s="2">
        <v>44742</v>
      </c>
      <c r="U24" t="s">
        <v>133</v>
      </c>
      <c r="V24" t="s">
        <v>38</v>
      </c>
      <c r="W24">
        <v>14</v>
      </c>
      <c r="X24" s="1">
        <v>1122</v>
      </c>
      <c r="Y24" s="1">
        <v>224.4</v>
      </c>
      <c r="Z24" s="1">
        <v>897.6</v>
      </c>
      <c r="AA24" s="3">
        <f>631+897</f>
        <v>1528</v>
      </c>
      <c r="AK24" s="3"/>
      <c r="AM24" s="4"/>
      <c r="AO24" s="4"/>
      <c r="BB24" s="2"/>
      <c r="BD24" s="4"/>
      <c r="BF24" s="4"/>
      <c r="BM24" s="2"/>
      <c r="BO24" s="4"/>
      <c r="BQ24" s="4"/>
      <c r="CI24" s="2"/>
      <c r="CJ24" s="2"/>
      <c r="CN24" s="2"/>
      <c r="CQ24" s="2"/>
      <c r="CZ24" s="3"/>
      <c r="DB24" s="2"/>
      <c r="DC24" s="2"/>
      <c r="DE24" s="2"/>
      <c r="DF24" s="2"/>
      <c r="DW24" s="2"/>
      <c r="EF24" s="4"/>
      <c r="EH24" s="4"/>
      <c r="ER24" s="2"/>
      <c r="EU24" s="3"/>
      <c r="EX24" s="4"/>
      <c r="EZ24" s="4"/>
      <c r="FQ24" s="4"/>
      <c r="FS24" s="4"/>
      <c r="GE24" s="2"/>
      <c r="GJ24" s="4"/>
      <c r="GL24" s="4"/>
      <c r="GR24" s="2"/>
      <c r="GS24" s="3"/>
      <c r="GU24" s="3"/>
      <c r="GV24" s="2"/>
      <c r="GW24" s="3"/>
      <c r="HB24" s="3"/>
      <c r="HN24" s="3"/>
      <c r="HP24" s="2"/>
      <c r="HQ24" s="3"/>
      <c r="HS24" s="4"/>
      <c r="II24" s="4"/>
      <c r="IK24" s="4"/>
      <c r="IS24" s="2"/>
      <c r="IT24" s="2"/>
      <c r="IV24" s="2"/>
      <c r="IW24" s="4"/>
      <c r="IY24" s="4"/>
      <c r="JH24" s="2"/>
      <c r="JK24" s="4"/>
      <c r="JM24" s="4"/>
      <c r="KD24" s="4"/>
      <c r="KF24" s="4"/>
      <c r="KJ24" s="4"/>
      <c r="KT24" s="2"/>
      <c r="KU24" s="2"/>
      <c r="KW24" s="2"/>
      <c r="LC24" s="2"/>
      <c r="LF24" s="2"/>
      <c r="LK24" s="2"/>
      <c r="LT24" s="4"/>
      <c r="LV24" s="4"/>
      <c r="NB24" s="2"/>
      <c r="NC24" s="2"/>
      <c r="NJ24" s="2"/>
      <c r="NN24" s="2"/>
      <c r="NO24" s="2"/>
      <c r="NV24" s="4"/>
      <c r="OA24" s="2"/>
      <c r="OB24" s="2"/>
      <c r="ON24" s="2"/>
      <c r="OO24" s="3"/>
      <c r="OR24" s="4"/>
      <c r="OT24" s="4"/>
      <c r="PD24" s="2"/>
      <c r="PQ24" s="2"/>
      <c r="PX24" s="2"/>
      <c r="PZ24" s="2"/>
      <c r="QF24" s="4"/>
      <c r="QH24" s="4"/>
      <c r="QZ24" s="2"/>
      <c r="RN24" s="4"/>
      <c r="RR24" s="2"/>
      <c r="RT24" s="2"/>
      <c r="SA24" s="4"/>
      <c r="SC24" s="4"/>
      <c r="SN24" s="2"/>
      <c r="SQ24" s="4"/>
      <c r="SS24" s="4"/>
      <c r="TG24" s="2"/>
      <c r="TH24" s="2"/>
      <c r="TI24" s="2"/>
      <c r="TU24" s="4"/>
      <c r="TW24" s="4"/>
    </row>
    <row r="25" spans="1:543">
      <c r="A25">
        <v>7137</v>
      </c>
      <c r="B25">
        <v>3424</v>
      </c>
      <c r="C25">
        <v>7194225623</v>
      </c>
      <c r="D25" t="s">
        <v>110</v>
      </c>
      <c r="E25" t="s">
        <v>177</v>
      </c>
      <c r="F25" t="s">
        <v>178</v>
      </c>
      <c r="G25" s="2">
        <v>40413</v>
      </c>
      <c r="H25" t="s">
        <v>30</v>
      </c>
      <c r="I25" t="s">
        <v>137</v>
      </c>
      <c r="J25" t="s">
        <v>32</v>
      </c>
      <c r="K25" t="s">
        <v>179</v>
      </c>
      <c r="L25" t="s">
        <v>77</v>
      </c>
      <c r="M25" s="2"/>
      <c r="N25" t="s">
        <v>180</v>
      </c>
      <c r="O25" s="2">
        <f>DATE(YEAR(G25) + P25, MONTH(G25), DAY(G25))</f>
        <v>63424</v>
      </c>
      <c r="P25">
        <v>63</v>
      </c>
      <c r="Q25" s="2">
        <v>45046</v>
      </c>
      <c r="R25" t="s">
        <v>36</v>
      </c>
      <c r="S25" t="s">
        <v>181</v>
      </c>
      <c r="T25" s="2">
        <v>44136</v>
      </c>
      <c r="U25" t="s">
        <v>103</v>
      </c>
      <c r="V25" t="s">
        <v>56</v>
      </c>
      <c r="W25">
        <v>22</v>
      </c>
      <c r="X25" s="1">
        <v>96121</v>
      </c>
      <c r="Y25" s="1">
        <v>19224.2</v>
      </c>
      <c r="Z25" s="1">
        <v>76896.800000000003</v>
      </c>
      <c r="AA25" s="3">
        <v>758</v>
      </c>
      <c r="AK25" s="3"/>
      <c r="AM25" s="4"/>
      <c r="AO25" s="4"/>
      <c r="BA25" s="2"/>
      <c r="BB25" s="2"/>
      <c r="BD25" s="4"/>
      <c r="BF25" s="4"/>
      <c r="BM25" s="2"/>
      <c r="BO25" s="4"/>
      <c r="BQ25" s="4"/>
      <c r="CI25" s="2"/>
      <c r="CJ25" s="2"/>
      <c r="CN25" s="2"/>
      <c r="CQ25" s="2"/>
      <c r="CV25" s="4"/>
      <c r="CX25" s="4"/>
      <c r="DB25" s="2"/>
      <c r="DC25" s="2"/>
      <c r="DE25" s="2"/>
      <c r="DF25" s="2"/>
      <c r="DV25" s="2"/>
      <c r="DW25" s="2"/>
      <c r="EF25" s="4"/>
      <c r="EH25" s="4"/>
      <c r="ER25" s="2"/>
      <c r="ES25" s="2"/>
      <c r="EX25" s="4"/>
      <c r="EZ25" s="4"/>
      <c r="FQ25" s="4"/>
      <c r="FS25" s="4"/>
      <c r="GE25" s="2"/>
      <c r="GJ25" s="4"/>
      <c r="GL25" s="4"/>
      <c r="GR25" s="2"/>
      <c r="GT25" s="3"/>
      <c r="GW25" s="3"/>
      <c r="GX25" s="3"/>
      <c r="GY25" s="3"/>
      <c r="HB25" s="3"/>
      <c r="HP25" s="2"/>
      <c r="HS25" s="4"/>
      <c r="HU25" s="4"/>
      <c r="II25" s="4"/>
      <c r="IK25" s="4"/>
      <c r="IS25" s="2"/>
      <c r="IT25" s="2"/>
      <c r="IW25" s="4"/>
      <c r="IY25" s="4"/>
      <c r="JH25" s="2"/>
      <c r="JK25" s="4"/>
      <c r="JM25" s="4"/>
      <c r="JZ25" s="2"/>
      <c r="KD25" s="4"/>
      <c r="KF25" s="4"/>
      <c r="KJ25" s="4"/>
      <c r="KT25" s="2"/>
      <c r="KU25" s="2"/>
      <c r="LC25" s="2"/>
      <c r="LF25" s="2"/>
      <c r="LK25" s="2"/>
      <c r="LT25" s="4"/>
      <c r="LV25" s="4"/>
      <c r="NB25" s="2"/>
      <c r="NC25" s="2"/>
      <c r="NJ25" s="2"/>
      <c r="NO25" s="2"/>
      <c r="NT25" s="4"/>
      <c r="NV25" s="4"/>
      <c r="OA25" s="2"/>
      <c r="OB25" s="2"/>
      <c r="ON25" s="2"/>
      <c r="OR25" s="4"/>
      <c r="OT25" s="4"/>
      <c r="PD25" s="2"/>
      <c r="PH25" s="2"/>
      <c r="PP25" s="3"/>
      <c r="PQ25" s="2"/>
      <c r="PX25" s="2"/>
      <c r="PZ25" s="2"/>
      <c r="QF25" s="4"/>
      <c r="RA25" s="2"/>
      <c r="RN25" s="4"/>
      <c r="RR25" s="2"/>
      <c r="RT25" s="2"/>
      <c r="SA25" s="4"/>
      <c r="SC25" s="4"/>
      <c r="SN25" s="2"/>
      <c r="SQ25" s="4"/>
      <c r="SS25" s="4"/>
      <c r="TG25" s="2"/>
      <c r="TH25" s="2"/>
      <c r="TI25" s="2"/>
      <c r="TU25" s="4"/>
      <c r="TW25" s="4"/>
    </row>
    <row r="26" spans="1:543">
      <c r="A26">
        <v>1797</v>
      </c>
      <c r="B26">
        <v>768</v>
      </c>
      <c r="C26">
        <v>4108744293</v>
      </c>
      <c r="D26" t="s">
        <v>50</v>
      </c>
      <c r="E26" t="s">
        <v>182</v>
      </c>
      <c r="F26" t="s">
        <v>183</v>
      </c>
      <c r="G26" s="2">
        <v>40317</v>
      </c>
      <c r="H26" t="s">
        <v>30</v>
      </c>
      <c r="I26" t="s">
        <v>53</v>
      </c>
      <c r="J26" t="s">
        <v>32</v>
      </c>
      <c r="K26" t="s">
        <v>76</v>
      </c>
      <c r="L26" t="s">
        <v>34</v>
      </c>
      <c r="M26" s="2"/>
      <c r="N26" t="s">
        <v>184</v>
      </c>
      <c r="O26" s="2">
        <f>DATE(YEAR(G26) + P26, MONTH(G26), DAY(G26))</f>
        <v>62963</v>
      </c>
      <c r="P26">
        <v>62</v>
      </c>
      <c r="Q26" s="2">
        <v>45976</v>
      </c>
      <c r="R26" t="s">
        <v>36</v>
      </c>
      <c r="S26" t="s">
        <v>109</v>
      </c>
      <c r="T26" s="2">
        <v>35682</v>
      </c>
      <c r="U26" t="s">
        <v>103</v>
      </c>
      <c r="V26" t="s">
        <v>66</v>
      </c>
      <c r="W26">
        <v>28</v>
      </c>
      <c r="X26" s="1">
        <v>33060</v>
      </c>
      <c r="Y26" s="1">
        <v>6612</v>
      </c>
      <c r="Z26" s="1">
        <f>26448+963</f>
        <v>27411</v>
      </c>
      <c r="AA26" s="3">
        <v>963</v>
      </c>
      <c r="AJ26" s="3"/>
      <c r="AK26" s="3"/>
      <c r="AM26" s="4"/>
      <c r="AO26" s="4"/>
      <c r="BA26" s="2"/>
      <c r="BB26" s="2"/>
      <c r="BD26" s="4"/>
      <c r="BF26" s="4"/>
      <c r="BM26" s="2"/>
      <c r="BO26" s="4"/>
      <c r="BQ26" s="4"/>
      <c r="CI26" s="2"/>
      <c r="CJ26" s="2"/>
      <c r="CN26" s="2"/>
      <c r="CV26" s="4"/>
      <c r="CX26" s="4"/>
      <c r="DB26" s="2"/>
      <c r="DE26" s="2"/>
      <c r="DF26" s="2"/>
      <c r="DV26" s="2"/>
      <c r="DW26" s="2"/>
      <c r="ER26" s="2"/>
      <c r="ES26" s="2"/>
      <c r="EX26" s="4"/>
      <c r="EZ26" s="4"/>
      <c r="FQ26" s="4"/>
      <c r="GE26" s="2"/>
      <c r="GJ26" s="4"/>
      <c r="GR26" s="2"/>
      <c r="GV26" s="2"/>
      <c r="GY26" s="3"/>
      <c r="HB26" s="3"/>
      <c r="HP26" s="2"/>
      <c r="HS26" s="4"/>
      <c r="HU26" s="4"/>
      <c r="II26" s="4"/>
      <c r="IK26" s="4"/>
      <c r="IS26" s="2"/>
      <c r="IT26" s="2"/>
      <c r="IV26" s="2"/>
      <c r="IW26" s="4"/>
      <c r="IY26" s="4"/>
      <c r="JH26" s="2"/>
      <c r="JK26" s="4"/>
      <c r="JM26" s="4"/>
      <c r="JZ26" s="2"/>
      <c r="KD26" s="4"/>
      <c r="KF26" s="4"/>
      <c r="KJ26" s="4"/>
      <c r="KT26" s="2"/>
      <c r="KU26" s="2"/>
      <c r="KW26" s="2"/>
      <c r="LC26" s="2"/>
      <c r="LF26" s="2"/>
      <c r="LH26" s="3"/>
      <c r="LK26" s="2"/>
      <c r="LT26" s="4"/>
      <c r="LV26" s="4"/>
      <c r="LZ26" s="3"/>
      <c r="ME26" s="3"/>
      <c r="MI26" s="3"/>
      <c r="NB26" s="2"/>
      <c r="NC26" s="2"/>
      <c r="NJ26" s="2"/>
      <c r="NN26" s="2"/>
      <c r="NO26" s="2"/>
      <c r="NT26" s="4"/>
      <c r="NV26" s="4"/>
      <c r="OA26" s="2"/>
      <c r="OK26" s="3"/>
      <c r="ON26" s="2"/>
      <c r="OR26" s="4"/>
      <c r="OT26" s="4"/>
      <c r="PD26" s="2"/>
      <c r="PH26" s="2"/>
      <c r="PI26" s="3"/>
      <c r="PQ26" s="2"/>
      <c r="PX26" s="2"/>
      <c r="PZ26" s="2"/>
      <c r="QF26" s="4"/>
      <c r="QH26" s="4"/>
      <c r="QZ26" s="2"/>
      <c r="RA26" s="2"/>
      <c r="RM26" s="3"/>
      <c r="RN26" s="4"/>
      <c r="RO26" s="4"/>
      <c r="RR26" s="2"/>
      <c r="RT26" s="2"/>
      <c r="RU26" s="2"/>
      <c r="SA26" s="4"/>
      <c r="SC26" s="4"/>
      <c r="SN26" s="2"/>
      <c r="SQ26" s="4"/>
      <c r="SS26" s="4"/>
      <c r="TG26" s="2"/>
      <c r="TH26" s="2"/>
      <c r="TI26" s="2"/>
      <c r="TU26" s="4"/>
      <c r="TW26" s="4"/>
    </row>
    <row r="27" spans="1:543">
      <c r="A27">
        <v>2819</v>
      </c>
      <c r="B27">
        <v>6333</v>
      </c>
      <c r="C27">
        <v>4526126960</v>
      </c>
      <c r="D27" t="s">
        <v>185</v>
      </c>
      <c r="E27" t="s">
        <v>186</v>
      </c>
      <c r="F27" t="s">
        <v>187</v>
      </c>
      <c r="G27" s="2">
        <v>40220</v>
      </c>
      <c r="H27" t="s">
        <v>30</v>
      </c>
      <c r="I27" t="s">
        <v>70</v>
      </c>
      <c r="J27" t="s">
        <v>32</v>
      </c>
      <c r="K27" t="s">
        <v>188</v>
      </c>
      <c r="L27" t="s">
        <v>95</v>
      </c>
      <c r="M27" s="2"/>
      <c r="N27" t="s">
        <v>189</v>
      </c>
      <c r="O27" s="2">
        <f>DATE(YEAR(G27) + P27, MONTH(G27), DAY(G27))</f>
        <v>63231</v>
      </c>
      <c r="P27">
        <v>63</v>
      </c>
      <c r="Q27" s="2"/>
      <c r="R27" t="s">
        <v>47</v>
      </c>
      <c r="S27" t="s">
        <v>109</v>
      </c>
      <c r="T27" s="2">
        <v>41850</v>
      </c>
      <c r="U27" t="s">
        <v>133</v>
      </c>
      <c r="V27" t="s">
        <v>56</v>
      </c>
      <c r="W27">
        <v>5</v>
      </c>
      <c r="X27" s="1">
        <v>82790</v>
      </c>
      <c r="Y27" s="1">
        <v>16558</v>
      </c>
      <c r="Z27" s="1">
        <v>66232</v>
      </c>
      <c r="AA27" s="3">
        <v>813</v>
      </c>
      <c r="AK27" s="3"/>
      <c r="AM27" s="4"/>
      <c r="BA27" s="2"/>
      <c r="BB27" s="2"/>
      <c r="BD27" s="4"/>
      <c r="BF27" s="4"/>
      <c r="BM27" s="2"/>
      <c r="BO27" s="4"/>
      <c r="BQ27" s="4"/>
      <c r="CI27" s="2"/>
      <c r="CJ27" s="2"/>
      <c r="CN27" s="2"/>
      <c r="CQ27" s="2"/>
      <c r="CV27" s="4"/>
      <c r="CX27" s="4"/>
      <c r="DB27" s="2"/>
      <c r="DC27" s="2"/>
      <c r="DE27" s="2"/>
      <c r="DF27" s="2"/>
      <c r="DV27" s="2"/>
      <c r="DW27" s="2"/>
      <c r="EF27" s="4"/>
      <c r="EH27" s="4"/>
      <c r="ER27" s="2"/>
      <c r="ES27" s="2"/>
      <c r="EX27" s="4"/>
      <c r="EZ27" s="4"/>
      <c r="FQ27" s="4"/>
      <c r="FS27" s="4"/>
      <c r="GE27" s="2"/>
      <c r="GJ27" s="4"/>
      <c r="GL27" s="4"/>
      <c r="GV27" s="2"/>
      <c r="GW27" s="3"/>
      <c r="GY27" s="3"/>
      <c r="HB27" s="3"/>
      <c r="HO27" s="3"/>
      <c r="HS27" s="4"/>
      <c r="II27" s="4"/>
      <c r="IK27" s="4"/>
      <c r="IS27" s="2"/>
      <c r="IT27" s="2"/>
      <c r="IV27" s="2"/>
      <c r="IW27" s="4"/>
      <c r="JH27" s="2"/>
      <c r="JK27" s="4"/>
      <c r="JM27" s="4"/>
      <c r="JZ27" s="2"/>
      <c r="KD27" s="4"/>
      <c r="KF27" s="4"/>
      <c r="KJ27" s="4"/>
      <c r="KU27" s="2"/>
      <c r="KW27" s="2"/>
      <c r="LC27" s="2"/>
      <c r="LF27" s="2"/>
      <c r="LK27" s="2"/>
      <c r="LT27" s="4"/>
      <c r="LV27" s="4"/>
      <c r="NC27" s="2"/>
      <c r="NG27" s="5"/>
      <c r="NJ27" s="2"/>
      <c r="NN27" s="2"/>
      <c r="NO27" s="2"/>
      <c r="NP27" s="3"/>
      <c r="NV27" s="4"/>
      <c r="OA27" s="2"/>
      <c r="OB27" s="2"/>
      <c r="ON27" s="2"/>
      <c r="OR27" s="4"/>
      <c r="OT27" s="4"/>
      <c r="PD27" s="2"/>
      <c r="PH27" s="2"/>
      <c r="PQ27" s="2"/>
      <c r="PX27" s="2"/>
      <c r="PY27" s="3"/>
      <c r="QF27" s="4"/>
      <c r="QH27" s="4"/>
      <c r="QZ27" s="2"/>
      <c r="RA27" s="2"/>
      <c r="RN27" s="4"/>
      <c r="RO27" s="4"/>
      <c r="RR27" s="2"/>
      <c r="RT27" s="2"/>
      <c r="SA27" s="4"/>
      <c r="SC27" s="4"/>
      <c r="SN27" s="2"/>
      <c r="SQ27" s="4"/>
      <c r="SS27" s="4"/>
      <c r="TG27" s="2"/>
      <c r="TH27" s="2"/>
      <c r="TI27" s="2"/>
      <c r="TU27" s="4"/>
      <c r="TW27" s="4"/>
    </row>
    <row r="28" spans="1:543">
      <c r="A28">
        <v>2746</v>
      </c>
      <c r="B28">
        <v>4475</v>
      </c>
      <c r="C28">
        <v>8593228805</v>
      </c>
      <c r="D28" t="s">
        <v>104</v>
      </c>
      <c r="E28" t="s">
        <v>190</v>
      </c>
      <c r="F28" t="s">
        <v>191</v>
      </c>
      <c r="G28" s="2">
        <v>34128</v>
      </c>
      <c r="H28" t="s">
        <v>43</v>
      </c>
      <c r="I28" t="s">
        <v>192</v>
      </c>
      <c r="J28" t="s">
        <v>61</v>
      </c>
      <c r="K28" t="s">
        <v>193</v>
      </c>
      <c r="L28" t="s">
        <v>77</v>
      </c>
      <c r="M28" s="2">
        <v>26726</v>
      </c>
      <c r="N28" t="s">
        <v>194</v>
      </c>
      <c r="O28" s="2">
        <f>DATE(YEAR(G28) + P28, MONTH(G28), DAY(G28))</f>
        <v>56773</v>
      </c>
      <c r="P28">
        <v>62</v>
      </c>
      <c r="Q28" s="2"/>
      <c r="R28" t="s">
        <v>47</v>
      </c>
      <c r="S28" t="s">
        <v>48</v>
      </c>
      <c r="T28" s="2">
        <v>27304</v>
      </c>
      <c r="U28" t="s">
        <v>38</v>
      </c>
      <c r="V28" t="s">
        <v>38</v>
      </c>
      <c r="W28">
        <v>23</v>
      </c>
      <c r="X28" s="1">
        <v>61526</v>
      </c>
      <c r="Y28" s="1">
        <v>12305.2</v>
      </c>
      <c r="Z28" s="1">
        <v>49220.800000000003</v>
      </c>
      <c r="AA28" s="3">
        <v>228</v>
      </c>
      <c r="AK28" s="3"/>
      <c r="AM28" s="4"/>
      <c r="AO28" s="4"/>
      <c r="BA28" s="2"/>
      <c r="BB28" s="2"/>
      <c r="BD28" s="4"/>
      <c r="BF28" s="4"/>
      <c r="BM28" s="2"/>
      <c r="BO28" s="4"/>
      <c r="CI28" s="2"/>
      <c r="CJ28" s="2"/>
      <c r="CN28" s="2"/>
      <c r="CQ28" s="2"/>
      <c r="CV28" s="4"/>
      <c r="CX28" s="4"/>
      <c r="DB28" s="2"/>
      <c r="DC28" s="2"/>
      <c r="DE28" s="2"/>
      <c r="DF28" s="2"/>
      <c r="DV28" s="2"/>
      <c r="DW28" s="2"/>
      <c r="EF28" s="4"/>
      <c r="EH28" s="4"/>
      <c r="ER28" s="2"/>
      <c r="ES28" s="2"/>
      <c r="EU28" s="3"/>
      <c r="EX28" s="4"/>
      <c r="EZ28" s="4"/>
      <c r="FQ28" s="4"/>
      <c r="FS28" s="4"/>
      <c r="GE28" s="2"/>
      <c r="GJ28" s="4"/>
      <c r="GL28" s="4"/>
      <c r="GR28" s="2"/>
      <c r="GT28" s="3"/>
      <c r="GV28" s="2"/>
      <c r="HB28" s="3"/>
      <c r="HP28" s="2"/>
      <c r="HQ28" s="3"/>
      <c r="HS28" s="4"/>
      <c r="HU28" s="4"/>
      <c r="II28" s="4"/>
      <c r="IK28" s="4"/>
      <c r="IS28" s="2"/>
      <c r="IT28" s="2"/>
      <c r="IW28" s="4"/>
      <c r="IY28" s="4"/>
      <c r="JH28" s="2"/>
      <c r="JK28" s="4"/>
      <c r="JM28" s="4"/>
      <c r="JZ28" s="2"/>
      <c r="KC28" s="3"/>
      <c r="KD28" s="4"/>
      <c r="KF28" s="4"/>
      <c r="KJ28" s="4"/>
      <c r="KT28" s="2"/>
      <c r="KU28" s="2"/>
      <c r="KW28" s="2"/>
      <c r="LC28" s="2"/>
      <c r="LF28" s="2"/>
      <c r="LK28" s="2"/>
      <c r="LT28" s="4"/>
      <c r="LV28" s="4"/>
      <c r="LZ28" s="3"/>
      <c r="NB28" s="2"/>
      <c r="NC28" s="2"/>
      <c r="NG28" s="5"/>
      <c r="NJ28" s="2"/>
      <c r="NN28" s="2"/>
      <c r="NO28" s="2"/>
      <c r="NQ28" s="3"/>
      <c r="NT28" s="4"/>
      <c r="NV28" s="4"/>
      <c r="OA28" s="2"/>
      <c r="OB28" s="2"/>
      <c r="OR28" s="4"/>
      <c r="OT28" s="4"/>
      <c r="PD28" s="2"/>
      <c r="PH28" s="2"/>
      <c r="PQ28" s="2"/>
      <c r="PX28" s="2"/>
      <c r="PZ28" s="2"/>
      <c r="QF28" s="4"/>
      <c r="QH28" s="4"/>
      <c r="QZ28" s="2"/>
      <c r="RA28" s="2"/>
      <c r="RN28" s="4"/>
      <c r="RO28" s="4"/>
      <c r="RR28" s="2"/>
      <c r="RT28" s="2"/>
      <c r="SA28" s="4"/>
      <c r="SC28" s="4"/>
      <c r="SN28" s="2"/>
      <c r="SQ28" s="4"/>
      <c r="SS28" s="4"/>
      <c r="TH28" s="2"/>
      <c r="TI28" s="2"/>
      <c r="TU28" s="4"/>
      <c r="TW28" s="4"/>
    </row>
    <row r="29" spans="1:543">
      <c r="A29">
        <v>9486</v>
      </c>
      <c r="B29">
        <v>4112</v>
      </c>
      <c r="C29">
        <v>2386055712</v>
      </c>
      <c r="D29" t="s">
        <v>91</v>
      </c>
      <c r="E29" t="s">
        <v>195</v>
      </c>
      <c r="F29" t="s">
        <v>196</v>
      </c>
      <c r="G29" s="2">
        <v>40542</v>
      </c>
      <c r="H29" t="s">
        <v>30</v>
      </c>
      <c r="I29" t="s">
        <v>70</v>
      </c>
      <c r="J29" t="s">
        <v>61</v>
      </c>
      <c r="K29" t="s">
        <v>197</v>
      </c>
      <c r="L29" t="s">
        <v>95</v>
      </c>
      <c r="M29" s="2">
        <v>28432</v>
      </c>
      <c r="N29" t="s">
        <v>198</v>
      </c>
      <c r="O29" s="2">
        <f>DATE(YEAR(G29) + P29, MONTH(G29), DAY(G29))</f>
        <v>64283</v>
      </c>
      <c r="P29">
        <v>65</v>
      </c>
      <c r="Q29" s="2"/>
      <c r="R29" t="s">
        <v>47</v>
      </c>
      <c r="S29" t="s">
        <v>102</v>
      </c>
      <c r="T29" s="2">
        <v>26633</v>
      </c>
      <c r="U29" t="s">
        <v>49</v>
      </c>
      <c r="V29" t="s">
        <v>56</v>
      </c>
      <c r="W29">
        <v>20</v>
      </c>
      <c r="X29" s="1">
        <v>23405</v>
      </c>
      <c r="Y29" s="1">
        <v>4681</v>
      </c>
      <c r="Z29" s="1">
        <v>18724</v>
      </c>
      <c r="AA29" s="3">
        <v>716</v>
      </c>
      <c r="AK29" s="3"/>
      <c r="AM29" s="4"/>
      <c r="AO29" s="4"/>
      <c r="BA29" s="2"/>
      <c r="BD29" s="4"/>
      <c r="BF29" s="4"/>
      <c r="BM29" s="2"/>
      <c r="BO29" s="4"/>
      <c r="CF29" s="3"/>
      <c r="CI29" s="2"/>
      <c r="CJ29" s="2"/>
      <c r="CN29" s="2"/>
      <c r="CV29" s="4"/>
      <c r="CX29" s="4"/>
      <c r="DB29" s="2"/>
      <c r="DC29" s="2"/>
      <c r="DD29" s="3"/>
      <c r="DE29" s="2"/>
      <c r="DF29" s="2"/>
      <c r="DV29" s="2"/>
      <c r="DW29" s="2"/>
      <c r="EF29" s="4"/>
      <c r="EH29" s="4"/>
      <c r="ER29" s="2"/>
      <c r="ES29" s="2"/>
      <c r="EX29" s="4"/>
      <c r="EZ29" s="4"/>
      <c r="FS29" s="4"/>
      <c r="GE29" s="2"/>
      <c r="GJ29" s="4"/>
      <c r="GL29" s="4"/>
      <c r="GR29" s="2"/>
      <c r="GS29" s="3"/>
      <c r="GV29" s="2"/>
      <c r="GX29" s="3"/>
      <c r="HB29" s="3"/>
      <c r="HP29" s="2"/>
      <c r="HQ29" s="3"/>
      <c r="HS29" s="4"/>
      <c r="HU29" s="4"/>
      <c r="II29" s="4"/>
      <c r="IK29" s="4"/>
      <c r="IS29" s="2"/>
      <c r="IT29" s="2"/>
      <c r="IV29" s="2"/>
      <c r="IW29" s="4"/>
      <c r="IY29" s="4"/>
      <c r="JH29" s="2"/>
      <c r="JK29" s="4"/>
      <c r="JM29" s="4"/>
      <c r="JZ29" s="2"/>
      <c r="KD29" s="4"/>
      <c r="KF29" s="4"/>
      <c r="KJ29" s="4"/>
      <c r="KT29" s="2"/>
      <c r="KU29" s="2"/>
      <c r="KW29" s="2"/>
      <c r="LC29" s="2"/>
      <c r="LF29" s="2"/>
      <c r="LK29" s="2"/>
      <c r="LM29" s="3"/>
      <c r="LT29" s="4"/>
      <c r="LV29" s="4"/>
      <c r="NB29" s="2"/>
      <c r="NC29" s="2"/>
      <c r="NJ29" s="2"/>
      <c r="NN29" s="2"/>
      <c r="NO29" s="2"/>
      <c r="NV29" s="4"/>
      <c r="OA29" s="2"/>
      <c r="OB29" s="2"/>
      <c r="ON29" s="2"/>
      <c r="OR29" s="4"/>
      <c r="PD29" s="2"/>
      <c r="PH29" s="2"/>
      <c r="PQ29" s="2"/>
      <c r="PX29" s="2"/>
      <c r="PZ29" s="2"/>
      <c r="QF29" s="4"/>
      <c r="QH29" s="4"/>
      <c r="QZ29" s="2"/>
      <c r="RN29" s="4"/>
      <c r="RO29" s="4"/>
      <c r="RR29" s="2"/>
      <c r="RT29" s="2"/>
      <c r="RU29" s="2"/>
      <c r="SA29" s="4"/>
      <c r="SC29" s="4"/>
      <c r="SM29" s="3"/>
      <c r="SN29" s="2"/>
      <c r="SQ29" s="4"/>
      <c r="SS29" s="4"/>
      <c r="TG29" s="2"/>
      <c r="TH29" s="2"/>
      <c r="TI29" s="2"/>
      <c r="TU29" s="4"/>
      <c r="TW29" s="4"/>
    </row>
    <row r="30" spans="1:543">
      <c r="A30">
        <v>8032</v>
      </c>
      <c r="B30">
        <v>6121</v>
      </c>
      <c r="C30">
        <v>1567423072</v>
      </c>
      <c r="D30" t="s">
        <v>199</v>
      </c>
      <c r="E30" t="s">
        <v>200</v>
      </c>
      <c r="F30" t="s">
        <v>201</v>
      </c>
      <c r="G30" s="2">
        <v>36923</v>
      </c>
      <c r="H30" t="s">
        <v>43</v>
      </c>
      <c r="I30" t="s">
        <v>44</v>
      </c>
      <c r="J30" t="s">
        <v>61</v>
      </c>
      <c r="K30" t="s">
        <v>202</v>
      </c>
      <c r="L30" t="s">
        <v>34</v>
      </c>
      <c r="M30" s="2">
        <v>44134</v>
      </c>
      <c r="N30" t="s">
        <v>203</v>
      </c>
      <c r="O30" s="2">
        <f>DATE(YEAR(G30) + P30, MONTH(G30), DAY(G30))</f>
        <v>61394</v>
      </c>
      <c r="P30">
        <v>67</v>
      </c>
      <c r="Q30" s="2"/>
      <c r="R30" t="s">
        <v>47</v>
      </c>
      <c r="S30" t="s">
        <v>37</v>
      </c>
      <c r="T30" s="2">
        <v>43869</v>
      </c>
      <c r="U30" t="s">
        <v>65</v>
      </c>
      <c r="V30" t="s">
        <v>66</v>
      </c>
      <c r="W30">
        <v>5</v>
      </c>
      <c r="X30" s="1">
        <v>42366</v>
      </c>
      <c r="Y30" s="1">
        <v>8473.2000000000007</v>
      </c>
      <c r="Z30" s="1">
        <v>33892.800000000003</v>
      </c>
      <c r="AA30" s="3">
        <v>948</v>
      </c>
      <c r="AK30" s="3"/>
      <c r="AM30" s="4"/>
      <c r="BA30" s="2"/>
      <c r="BB30" s="2"/>
      <c r="BD30" s="4"/>
      <c r="BF30" s="4"/>
      <c r="BM30" s="2"/>
      <c r="BO30" s="4"/>
      <c r="BQ30" s="4"/>
      <c r="CI30" s="2"/>
      <c r="CJ30" s="2"/>
      <c r="CP30" s="3"/>
      <c r="CQ30" s="2"/>
      <c r="CV30" s="4"/>
      <c r="CX30" s="4"/>
      <c r="DB30" s="2"/>
      <c r="DC30" s="2"/>
      <c r="DE30" s="2"/>
      <c r="DF30" s="2"/>
      <c r="DV30" s="2"/>
      <c r="DW30" s="2"/>
      <c r="EF30" s="4"/>
      <c r="EH30" s="4"/>
      <c r="ES30" s="2"/>
      <c r="EX30" s="4"/>
      <c r="EZ30" s="4"/>
      <c r="FQ30" s="4"/>
      <c r="FS30" s="4"/>
      <c r="GE30" s="2"/>
      <c r="GJ30" s="4"/>
      <c r="GL30" s="4"/>
      <c r="GR30" s="2"/>
      <c r="GS30" s="3"/>
      <c r="GU30" s="3"/>
      <c r="GV30" s="2"/>
      <c r="GW30" s="3"/>
      <c r="HB30" s="3"/>
      <c r="HN30" s="3"/>
      <c r="HP30" s="2"/>
      <c r="HQ30" s="3"/>
      <c r="HS30" s="4"/>
      <c r="II30" s="4"/>
      <c r="IK30" s="4"/>
      <c r="IS30" s="2"/>
      <c r="IT30" s="2"/>
      <c r="IV30" s="2"/>
      <c r="IW30" s="4"/>
      <c r="IY30" s="4"/>
      <c r="JH30" s="2"/>
      <c r="JK30" s="4"/>
      <c r="JM30" s="4"/>
      <c r="JZ30" s="2"/>
      <c r="KD30" s="4"/>
      <c r="KF30" s="4"/>
      <c r="KJ30" s="4"/>
      <c r="KT30" s="2"/>
      <c r="KU30" s="2"/>
      <c r="KW30" s="2"/>
      <c r="LC30" s="2"/>
      <c r="LK30" s="2"/>
      <c r="LV30" s="4"/>
      <c r="NB30" s="2"/>
      <c r="NC30" s="2"/>
      <c r="NN30" s="2"/>
      <c r="NO30" s="2"/>
      <c r="NT30" s="4"/>
      <c r="NV30" s="4"/>
      <c r="OA30" s="2"/>
      <c r="OB30" s="2"/>
      <c r="ON30" s="2"/>
      <c r="OR30" s="4"/>
      <c r="OT30" s="4"/>
      <c r="PD30" s="2"/>
      <c r="PH30" s="2"/>
      <c r="PX30" s="2"/>
      <c r="PZ30" s="2"/>
      <c r="QF30" s="4"/>
      <c r="QH30" s="4"/>
      <c r="QZ30" s="2"/>
      <c r="RA30" s="2"/>
      <c r="RN30" s="4"/>
      <c r="RO30" s="4"/>
      <c r="RR30" s="2"/>
      <c r="RT30" s="2"/>
      <c r="RU30" s="2"/>
      <c r="SA30" s="4"/>
      <c r="SC30" s="4"/>
      <c r="SQ30" s="4"/>
      <c r="SS30" s="4"/>
      <c r="TG30" s="2"/>
      <c r="TH30" s="2"/>
      <c r="TI30" s="2"/>
      <c r="TU30" s="4"/>
      <c r="TW30" s="4"/>
    </row>
    <row r="31" spans="1:543">
      <c r="A31">
        <v>3730</v>
      </c>
      <c r="B31">
        <v>2252</v>
      </c>
      <c r="C31">
        <v>9532001207</v>
      </c>
      <c r="D31" t="s">
        <v>50</v>
      </c>
      <c r="E31" t="s">
        <v>204</v>
      </c>
      <c r="F31" t="s">
        <v>205</v>
      </c>
      <c r="G31" s="2">
        <v>32786</v>
      </c>
      <c r="H31" t="s">
        <v>30</v>
      </c>
      <c r="I31" t="s">
        <v>137</v>
      </c>
      <c r="J31" t="s">
        <v>32</v>
      </c>
      <c r="K31" t="s">
        <v>206</v>
      </c>
      <c r="L31" t="s">
        <v>34</v>
      </c>
      <c r="M31" s="2"/>
      <c r="N31" t="s">
        <v>207</v>
      </c>
      <c r="O31" s="2">
        <f>DATE(YEAR(G31) + P31, MONTH(G31), DAY(G31))</f>
        <v>56527</v>
      </c>
      <c r="P31">
        <v>65</v>
      </c>
      <c r="Q31" s="2"/>
      <c r="R31" t="s">
        <v>47</v>
      </c>
      <c r="S31" t="s">
        <v>109</v>
      </c>
      <c r="T31" s="2">
        <v>29140</v>
      </c>
      <c r="U31" t="s">
        <v>38</v>
      </c>
      <c r="V31" t="s">
        <v>38</v>
      </c>
      <c r="W31">
        <v>12</v>
      </c>
      <c r="X31" s="1">
        <v>29822</v>
      </c>
      <c r="Y31" s="1">
        <v>5964.4000000000005</v>
      </c>
      <c r="Z31" s="1">
        <v>23857.599999999999</v>
      </c>
      <c r="AA31" s="3">
        <v>806</v>
      </c>
      <c r="AK31" s="3"/>
      <c r="AM31" s="4"/>
      <c r="AO31" s="4"/>
      <c r="BA31" s="2"/>
      <c r="BD31" s="4"/>
      <c r="BF31" s="4"/>
      <c r="BM31" s="2"/>
      <c r="BO31" s="4"/>
      <c r="BQ31" s="4"/>
      <c r="CI31" s="2"/>
      <c r="CJ31" s="2"/>
      <c r="CN31" s="2"/>
      <c r="CQ31" s="2"/>
      <c r="CV31" s="4"/>
      <c r="CX31" s="4"/>
      <c r="DB31" s="2"/>
      <c r="DC31" s="2"/>
      <c r="DE31" s="2"/>
      <c r="DF31" s="2"/>
      <c r="DV31" s="2"/>
      <c r="DW31" s="2"/>
      <c r="EF31" s="4"/>
      <c r="EH31" s="4"/>
      <c r="ER31" s="2"/>
      <c r="ES31" s="2"/>
      <c r="EX31" s="4"/>
      <c r="EZ31" s="4"/>
      <c r="FS31" s="4"/>
      <c r="GE31" s="2"/>
      <c r="GJ31" s="4"/>
      <c r="GL31" s="4"/>
      <c r="GR31" s="2"/>
      <c r="GS31" s="3"/>
      <c r="GU31" s="3"/>
      <c r="GV31" s="2"/>
      <c r="GX31" s="3"/>
      <c r="HB31" s="3"/>
      <c r="HP31" s="2"/>
      <c r="HS31" s="4"/>
      <c r="HU31" s="4"/>
      <c r="II31" s="4"/>
      <c r="IK31" s="4"/>
      <c r="IS31" s="2"/>
      <c r="IT31" s="2"/>
      <c r="IV31" s="2"/>
      <c r="IW31" s="4"/>
      <c r="IY31" s="4"/>
      <c r="JK31" s="4"/>
      <c r="JM31" s="4"/>
      <c r="JZ31" s="2"/>
      <c r="KD31" s="4"/>
      <c r="KF31" s="4"/>
      <c r="KJ31" s="4"/>
      <c r="KT31" s="2"/>
      <c r="KW31" s="2"/>
      <c r="LC31" s="2"/>
      <c r="LK31" s="2"/>
      <c r="LT31" s="4"/>
      <c r="LV31" s="4"/>
      <c r="MG31" s="3"/>
      <c r="MK31" s="3"/>
      <c r="NB31" s="2"/>
      <c r="NC31" s="2"/>
      <c r="NJ31" s="2"/>
      <c r="NN31" s="2"/>
      <c r="NO31" s="2"/>
      <c r="NT31" s="4"/>
      <c r="NV31" s="4"/>
      <c r="OA31" s="2"/>
      <c r="OB31" s="2"/>
      <c r="ON31" s="2"/>
      <c r="OO31" s="3"/>
      <c r="OR31" s="4"/>
      <c r="PD31" s="2"/>
      <c r="PH31" s="2"/>
      <c r="PQ31" s="2"/>
      <c r="PX31" s="2"/>
      <c r="PZ31" s="2"/>
      <c r="QF31" s="4"/>
      <c r="QH31" s="4"/>
      <c r="QZ31" s="2"/>
      <c r="RA31" s="2"/>
      <c r="RN31" s="4"/>
      <c r="RO31" s="4"/>
      <c r="RR31" s="2"/>
      <c r="RT31" s="2"/>
      <c r="RU31" s="2"/>
      <c r="SA31" s="4"/>
      <c r="SC31" s="4"/>
      <c r="SN31" s="2"/>
      <c r="SQ31" s="4"/>
      <c r="SS31" s="4"/>
      <c r="TG31" s="2"/>
      <c r="TP31" s="3"/>
      <c r="TU31" s="4"/>
      <c r="TW31" s="4"/>
    </row>
    <row r="32" spans="1:543">
      <c r="A32">
        <v>2827</v>
      </c>
      <c r="B32">
        <v>6172</v>
      </c>
      <c r="C32">
        <v>5035104637</v>
      </c>
      <c r="D32" t="s">
        <v>208</v>
      </c>
      <c r="E32" t="s">
        <v>209</v>
      </c>
      <c r="F32" t="s">
        <v>210</v>
      </c>
      <c r="G32" s="2">
        <v>28963</v>
      </c>
      <c r="H32" t="s">
        <v>43</v>
      </c>
      <c r="I32" t="s">
        <v>75</v>
      </c>
      <c r="J32" t="s">
        <v>61</v>
      </c>
      <c r="K32" t="s">
        <v>211</v>
      </c>
      <c r="L32" t="s">
        <v>77</v>
      </c>
      <c r="M32" s="2">
        <v>45600</v>
      </c>
      <c r="N32" t="s">
        <v>212</v>
      </c>
      <c r="O32" s="2">
        <f>DATE(YEAR(G32) + P32, MONTH(G32), DAY(G32))</f>
        <v>53070</v>
      </c>
      <c r="P32">
        <v>66</v>
      </c>
      <c r="Q32" s="2"/>
      <c r="R32" t="s">
        <v>47</v>
      </c>
      <c r="S32" t="s">
        <v>109</v>
      </c>
      <c r="T32" s="2">
        <v>45595</v>
      </c>
      <c r="U32" t="s">
        <v>103</v>
      </c>
      <c r="V32" t="s">
        <v>39</v>
      </c>
      <c r="W32">
        <v>13</v>
      </c>
      <c r="X32" s="1">
        <v>39417</v>
      </c>
      <c r="Y32" s="1">
        <v>7883.4000000000005</v>
      </c>
      <c r="Z32" s="1">
        <v>31533.599999999999</v>
      </c>
      <c r="AA32" s="3">
        <v>252</v>
      </c>
      <c r="AK32" s="3"/>
      <c r="AM32" s="4"/>
      <c r="AO32" s="4"/>
      <c r="BA32" s="2"/>
      <c r="BB32" s="2"/>
      <c r="BD32" s="4"/>
      <c r="BM32" s="2"/>
      <c r="BO32" s="4"/>
      <c r="BQ32" s="4"/>
      <c r="CI32" s="2"/>
      <c r="CJ32" s="2"/>
      <c r="CN32" s="2"/>
      <c r="CQ32" s="2"/>
      <c r="CV32" s="4"/>
      <c r="CX32" s="4"/>
      <c r="DB32" s="2"/>
      <c r="DC32" s="2"/>
      <c r="DE32" s="2"/>
      <c r="DF32" s="2"/>
      <c r="DW32" s="2"/>
      <c r="EF32" s="4"/>
      <c r="EH32" s="4"/>
      <c r="ER32" s="2"/>
      <c r="EX32" s="4"/>
      <c r="EZ32" s="4"/>
      <c r="FQ32" s="4"/>
      <c r="FS32" s="4"/>
      <c r="GE32" s="2"/>
      <c r="GL32" s="4"/>
      <c r="GS32" s="3"/>
      <c r="GU32" s="3"/>
      <c r="GV32" s="2"/>
      <c r="GX32" s="3"/>
      <c r="GY32" s="3"/>
      <c r="HB32" s="3"/>
      <c r="HO32" s="3"/>
      <c r="HP32" s="2"/>
      <c r="HS32" s="4"/>
      <c r="HU32" s="4"/>
      <c r="IK32" s="4"/>
      <c r="IS32" s="2"/>
      <c r="IT32" s="2"/>
      <c r="IV32" s="2"/>
      <c r="IW32" s="4"/>
      <c r="IY32" s="4"/>
      <c r="JH32" s="2"/>
      <c r="JK32" s="4"/>
      <c r="JM32" s="4"/>
      <c r="JZ32" s="2"/>
      <c r="KD32" s="4"/>
      <c r="KF32" s="4"/>
      <c r="KJ32" s="4"/>
      <c r="KT32" s="2"/>
      <c r="KU32" s="2"/>
      <c r="KW32" s="2"/>
      <c r="LF32" s="2"/>
      <c r="LK32" s="2"/>
      <c r="LT32" s="4"/>
      <c r="LV32" s="4"/>
      <c r="MB32" s="3"/>
      <c r="MJ32" s="3"/>
      <c r="NB32" s="2"/>
      <c r="NC32" s="2"/>
      <c r="NJ32" s="2"/>
      <c r="NN32" s="2"/>
      <c r="NO32" s="2"/>
      <c r="NT32" s="4"/>
      <c r="OA32" s="2"/>
      <c r="OB32" s="2"/>
      <c r="ON32" s="2"/>
      <c r="OR32" s="4"/>
      <c r="PD32" s="2"/>
      <c r="PH32" s="2"/>
      <c r="PQ32" s="2"/>
      <c r="PX32" s="2"/>
      <c r="PZ32" s="2"/>
      <c r="QF32" s="4"/>
      <c r="QH32" s="4"/>
      <c r="QZ32" s="2"/>
      <c r="RA32" s="2"/>
      <c r="RN32" s="4"/>
      <c r="RO32" s="4"/>
      <c r="RT32" s="2"/>
      <c r="RU32" s="2"/>
      <c r="SA32" s="4"/>
      <c r="SC32" s="4"/>
      <c r="SN32" s="2"/>
      <c r="SQ32" s="4"/>
      <c r="SS32" s="4"/>
      <c r="TG32" s="2"/>
      <c r="TH32" s="2"/>
      <c r="TI32" s="2"/>
      <c r="TU32" s="4"/>
      <c r="TW32" s="4"/>
    </row>
    <row r="33" spans="1:543">
      <c r="A33">
        <v>1544</v>
      </c>
      <c r="B33">
        <v>5535</v>
      </c>
      <c r="C33">
        <v>3865336806</v>
      </c>
      <c r="D33" t="s">
        <v>213</v>
      </c>
      <c r="E33" t="s">
        <v>214</v>
      </c>
      <c r="F33" t="s">
        <v>215</v>
      </c>
      <c r="G33" s="2">
        <v>25537</v>
      </c>
      <c r="H33" t="s">
        <v>30</v>
      </c>
      <c r="I33" t="s">
        <v>137</v>
      </c>
      <c r="J33" t="s">
        <v>32</v>
      </c>
      <c r="K33" t="s">
        <v>216</v>
      </c>
      <c r="L33" t="s">
        <v>95</v>
      </c>
      <c r="M33" s="2"/>
      <c r="N33" t="s">
        <v>217</v>
      </c>
      <c r="O33" s="2">
        <f>DATE(YEAR(G33) + P33, MONTH(G33), DAY(G33))</f>
        <v>47817</v>
      </c>
      <c r="P33">
        <v>61</v>
      </c>
      <c r="Q33" s="2"/>
      <c r="R33" t="s">
        <v>47</v>
      </c>
      <c r="S33" t="s">
        <v>37</v>
      </c>
      <c r="T33" s="2">
        <v>42067</v>
      </c>
      <c r="U33" t="s">
        <v>49</v>
      </c>
      <c r="V33" t="s">
        <v>66</v>
      </c>
      <c r="W33">
        <v>8</v>
      </c>
      <c r="X33" s="1">
        <v>43707</v>
      </c>
      <c r="Y33" s="1">
        <v>8741.4</v>
      </c>
      <c r="Z33" s="1">
        <v>34965.599999999999</v>
      </c>
      <c r="AA33" s="3">
        <v>65</v>
      </c>
      <c r="AK33" s="3"/>
      <c r="AM33" s="4"/>
      <c r="AO33" s="4"/>
      <c r="BA33" s="2"/>
      <c r="BB33" s="2"/>
      <c r="BD33" s="4"/>
      <c r="BF33" s="4"/>
      <c r="BM33" s="2"/>
      <c r="BO33" s="4"/>
      <c r="BQ33" s="4"/>
      <c r="CH33" s="3"/>
      <c r="CI33" s="2"/>
      <c r="CJ33" s="2"/>
      <c r="CL33" s="3"/>
      <c r="CN33" s="2"/>
      <c r="CQ33" s="2"/>
      <c r="CV33" s="4"/>
      <c r="CX33" s="4"/>
      <c r="DB33" s="2"/>
      <c r="DC33" s="2"/>
      <c r="DE33" s="2"/>
      <c r="DV33" s="2"/>
      <c r="DW33" s="2"/>
      <c r="EF33" s="4"/>
      <c r="EH33" s="4"/>
      <c r="ER33" s="2"/>
      <c r="ES33" s="2"/>
      <c r="EX33" s="4"/>
      <c r="EZ33" s="4"/>
      <c r="FQ33" s="4"/>
      <c r="FS33" s="4"/>
      <c r="GE33" s="2"/>
      <c r="GJ33" s="4"/>
      <c r="GL33" s="4"/>
      <c r="GR33" s="2"/>
      <c r="GV33" s="2"/>
      <c r="GX33" s="3"/>
      <c r="GY33" s="3"/>
      <c r="HB33" s="3"/>
      <c r="HS33" s="4"/>
      <c r="HU33" s="4"/>
      <c r="II33" s="4"/>
      <c r="IK33" s="4"/>
      <c r="IS33" s="2"/>
      <c r="IT33" s="2"/>
      <c r="IV33" s="2"/>
      <c r="IW33" s="4"/>
      <c r="IY33" s="4"/>
      <c r="JH33" s="2"/>
      <c r="JK33" s="4"/>
      <c r="JM33" s="4"/>
      <c r="JZ33" s="2"/>
      <c r="KA33" s="3"/>
      <c r="KC33" s="3"/>
      <c r="KD33" s="4"/>
      <c r="KJ33" s="4"/>
      <c r="KT33" s="2"/>
      <c r="KU33" s="2"/>
      <c r="KW33" s="2"/>
      <c r="LC33" s="2"/>
      <c r="LF33" s="2"/>
      <c r="LK33" s="2"/>
      <c r="LT33" s="4"/>
      <c r="LV33" s="4"/>
      <c r="NB33" s="2"/>
      <c r="NC33" s="2"/>
      <c r="NG33" s="5"/>
      <c r="NJ33" s="2"/>
      <c r="NN33" s="2"/>
      <c r="NO33" s="2"/>
      <c r="NP33" s="3"/>
      <c r="NV33" s="4"/>
      <c r="OA33" s="2"/>
      <c r="OB33" s="2"/>
      <c r="ON33" s="2"/>
      <c r="OR33" s="4"/>
      <c r="PD33" s="2"/>
      <c r="PH33" s="2"/>
      <c r="PQ33" s="2"/>
      <c r="PX33" s="2"/>
      <c r="PZ33" s="2"/>
      <c r="QF33" s="4"/>
      <c r="QH33" s="4"/>
      <c r="QZ33" s="2"/>
      <c r="RA33" s="2"/>
      <c r="RN33" s="4"/>
      <c r="RO33" s="4"/>
      <c r="RR33" s="2"/>
      <c r="RT33" s="2"/>
      <c r="SA33" s="4"/>
      <c r="SC33" s="4"/>
      <c r="SN33" s="2"/>
      <c r="SQ33" s="4"/>
      <c r="SS33" s="4"/>
      <c r="TG33" s="2"/>
      <c r="TH33" s="2"/>
      <c r="TI33" s="2"/>
      <c r="TU33" s="4"/>
      <c r="TW33" s="4"/>
    </row>
    <row r="34" spans="1:543">
      <c r="A34">
        <v>391</v>
      </c>
      <c r="B34">
        <v>4098</v>
      </c>
      <c r="C34">
        <v>9256227341</v>
      </c>
      <c r="D34" t="s">
        <v>185</v>
      </c>
      <c r="E34" t="s">
        <v>218</v>
      </c>
      <c r="F34" t="s">
        <v>219</v>
      </c>
      <c r="G34" s="2">
        <v>40496</v>
      </c>
      <c r="H34" t="s">
        <v>43</v>
      </c>
      <c r="I34" t="s">
        <v>60</v>
      </c>
      <c r="J34" t="s">
        <v>32</v>
      </c>
      <c r="K34" t="s">
        <v>220</v>
      </c>
      <c r="L34" t="s">
        <v>95</v>
      </c>
      <c r="M34" s="2"/>
      <c r="N34" t="s">
        <v>221</v>
      </c>
      <c r="O34" s="2">
        <f>DATE(YEAR(G34) + P34, MONTH(G34), DAY(G34))</f>
        <v>65698</v>
      </c>
      <c r="P34">
        <v>69</v>
      </c>
      <c r="Q34" s="2"/>
      <c r="R34" t="s">
        <v>47</v>
      </c>
      <c r="S34" t="s">
        <v>109</v>
      </c>
      <c r="T34" s="2">
        <v>45200</v>
      </c>
      <c r="U34" t="s">
        <v>49</v>
      </c>
      <c r="V34" t="s">
        <v>38</v>
      </c>
      <c r="W34">
        <v>8</v>
      </c>
      <c r="X34" s="1">
        <v>66910</v>
      </c>
      <c r="Y34" s="1">
        <v>13382</v>
      </c>
      <c r="Z34" s="1">
        <v>53528</v>
      </c>
      <c r="AA34" s="3">
        <v>191</v>
      </c>
      <c r="AK34" s="3"/>
      <c r="AM34" s="4"/>
      <c r="AO34" s="4"/>
      <c r="BA34" s="2"/>
      <c r="BB34" s="2"/>
      <c r="BD34" s="4"/>
      <c r="BF34" s="4"/>
      <c r="BM34" s="2"/>
      <c r="BO34" s="4"/>
      <c r="CI34" s="2"/>
      <c r="CJ34" s="2"/>
      <c r="CL34" s="3"/>
      <c r="CN34" s="2"/>
      <c r="CQ34" s="2"/>
      <c r="CV34" s="4"/>
      <c r="CX34" s="4"/>
      <c r="DC34" s="2"/>
      <c r="DE34" s="2"/>
      <c r="DF34" s="2"/>
      <c r="DV34" s="2"/>
      <c r="DW34" s="2"/>
      <c r="EF34" s="4"/>
      <c r="EH34" s="4"/>
      <c r="ES34" s="2"/>
      <c r="EU34" s="3"/>
      <c r="EX34" s="4"/>
      <c r="EZ34" s="4"/>
      <c r="FQ34" s="4"/>
      <c r="FS34" s="4"/>
      <c r="GE34" s="2"/>
      <c r="GJ34" s="4"/>
      <c r="GR34" s="2"/>
      <c r="GS34" s="3"/>
      <c r="GX34" s="3"/>
      <c r="HB34" s="3"/>
      <c r="HN34" s="3"/>
      <c r="HP34" s="2"/>
      <c r="HQ34" s="3"/>
      <c r="HS34" s="4"/>
      <c r="HU34" s="4"/>
      <c r="II34" s="4"/>
      <c r="IK34" s="4"/>
      <c r="IS34" s="2"/>
      <c r="IT34" s="2"/>
      <c r="IV34" s="2"/>
      <c r="JH34" s="2"/>
      <c r="JK34" s="4"/>
      <c r="JM34" s="4"/>
      <c r="JZ34" s="2"/>
      <c r="KD34" s="4"/>
      <c r="KJ34" s="4"/>
      <c r="KT34" s="2"/>
      <c r="KU34" s="2"/>
      <c r="KW34" s="2"/>
      <c r="LC34" s="2"/>
      <c r="LF34" s="2"/>
      <c r="LH34" s="3"/>
      <c r="LK34" s="2"/>
      <c r="LT34" s="4"/>
      <c r="LV34" s="4"/>
      <c r="NB34" s="2"/>
      <c r="NC34" s="2"/>
      <c r="NJ34" s="2"/>
      <c r="NN34" s="2"/>
      <c r="NO34" s="2"/>
      <c r="NT34" s="4"/>
      <c r="NV34" s="4"/>
      <c r="OA34" s="2"/>
      <c r="OB34" s="2"/>
      <c r="ON34" s="2"/>
      <c r="OR34" s="4"/>
      <c r="OT34" s="4"/>
      <c r="PD34" s="2"/>
      <c r="PH34" s="2"/>
      <c r="PI34" s="3"/>
      <c r="PQ34" s="2"/>
      <c r="PX34" s="2"/>
      <c r="PZ34" s="2"/>
      <c r="QH34" s="4"/>
      <c r="RA34" s="2"/>
      <c r="RM34" s="3"/>
      <c r="RO34" s="4"/>
      <c r="RR34" s="2"/>
      <c r="RT34" s="2"/>
      <c r="RU34" s="2"/>
      <c r="SA34" s="4"/>
      <c r="SN34" s="2"/>
      <c r="SQ34" s="4"/>
      <c r="TG34" s="2"/>
      <c r="TH34" s="2"/>
      <c r="TI34" s="2"/>
      <c r="TU34" s="4"/>
      <c r="TW34" s="4"/>
    </row>
    <row r="35" spans="1:543">
      <c r="A35">
        <v>767</v>
      </c>
      <c r="B35">
        <v>7930</v>
      </c>
      <c r="C35">
        <v>6106353421</v>
      </c>
      <c r="D35" t="s">
        <v>222</v>
      </c>
      <c r="E35" t="s">
        <v>223</v>
      </c>
      <c r="F35" t="s">
        <v>224</v>
      </c>
      <c r="G35" s="2">
        <v>40267</v>
      </c>
      <c r="H35" t="s">
        <v>30</v>
      </c>
      <c r="I35" t="s">
        <v>137</v>
      </c>
      <c r="J35" t="s">
        <v>32</v>
      </c>
      <c r="K35" t="s">
        <v>225</v>
      </c>
      <c r="L35" t="s">
        <v>95</v>
      </c>
      <c r="M35" s="2"/>
      <c r="N35" t="s">
        <v>226</v>
      </c>
      <c r="O35" s="2">
        <f>DATE(YEAR(G35) + P35, MONTH(G35), DAY(G35))</f>
        <v>64008</v>
      </c>
      <c r="P35">
        <v>65</v>
      </c>
      <c r="Q35" s="2">
        <v>40117</v>
      </c>
      <c r="R35" t="s">
        <v>36</v>
      </c>
      <c r="S35" t="s">
        <v>37</v>
      </c>
      <c r="T35" s="2">
        <v>27753</v>
      </c>
      <c r="U35" t="s">
        <v>103</v>
      </c>
      <c r="V35" t="s">
        <v>38</v>
      </c>
      <c r="W35">
        <v>22</v>
      </c>
      <c r="X35" s="1">
        <v>52454</v>
      </c>
      <c r="Y35" s="1">
        <v>10490.800000000001</v>
      </c>
      <c r="Z35" s="1">
        <v>41963.199999999997</v>
      </c>
      <c r="AA35" s="3">
        <v>608</v>
      </c>
      <c r="AK35" s="3"/>
      <c r="AM35" s="4"/>
      <c r="BA35" s="2"/>
      <c r="BB35" s="2"/>
      <c r="BD35" s="4"/>
      <c r="BF35" s="4"/>
      <c r="BM35" s="2"/>
      <c r="BO35" s="4"/>
      <c r="BQ35" s="4"/>
      <c r="CI35" s="2"/>
      <c r="CJ35" s="2"/>
      <c r="CN35" s="2"/>
      <c r="CQ35" s="2"/>
      <c r="CV35" s="4"/>
      <c r="CZ35" s="3"/>
      <c r="DB35" s="2"/>
      <c r="DC35" s="2"/>
      <c r="DF35" s="2"/>
      <c r="DV35" s="2"/>
      <c r="DW35" s="2"/>
      <c r="EF35" s="4"/>
      <c r="EH35" s="4"/>
      <c r="ES35" s="2"/>
      <c r="EX35" s="4"/>
      <c r="EZ35" s="4"/>
      <c r="FQ35" s="4"/>
      <c r="FS35" s="4"/>
      <c r="GE35" s="2"/>
      <c r="GJ35" s="4"/>
      <c r="GL35" s="4"/>
      <c r="GR35" s="2"/>
      <c r="GS35" s="3"/>
      <c r="GT35" s="3"/>
      <c r="GV35" s="2"/>
      <c r="GW35" s="3"/>
      <c r="IK35" s="4"/>
      <c r="IS35" s="2"/>
      <c r="IT35" s="2"/>
      <c r="IV35" s="2"/>
      <c r="IW35" s="4"/>
      <c r="IY35" s="4"/>
      <c r="JH35" s="2"/>
      <c r="JM35" s="4"/>
      <c r="JZ35" s="2"/>
      <c r="KD35" s="4"/>
      <c r="KF35" s="4"/>
      <c r="KJ35" s="4"/>
      <c r="KT35" s="2"/>
      <c r="KU35" s="2"/>
      <c r="KW35" s="2"/>
      <c r="LC35" s="2"/>
      <c r="LF35" s="2"/>
      <c r="LK35" s="2"/>
      <c r="LT35" s="4"/>
      <c r="LV35" s="4"/>
      <c r="MC35" s="3"/>
      <c r="NB35" s="2"/>
      <c r="NC35" s="2"/>
      <c r="NJ35" s="2"/>
      <c r="NN35" s="2"/>
      <c r="NO35" s="2"/>
      <c r="NP35" s="3"/>
      <c r="NT35" s="4"/>
      <c r="NV35" s="4"/>
      <c r="OA35" s="2"/>
      <c r="OB35" s="2"/>
      <c r="ON35" s="2"/>
      <c r="OR35" s="4"/>
      <c r="OT35" s="4"/>
      <c r="PD35" s="2"/>
      <c r="PQ35" s="2"/>
      <c r="PX35" s="2"/>
      <c r="PZ35" s="2"/>
      <c r="QF35" s="4"/>
      <c r="QH35" s="4"/>
      <c r="QX35" s="3"/>
      <c r="QZ35" s="2"/>
      <c r="RA35" s="2"/>
      <c r="RN35" s="4"/>
      <c r="RO35" s="4"/>
      <c r="RR35" s="2"/>
      <c r="RT35" s="2"/>
      <c r="RU35" s="2"/>
      <c r="SA35" s="4"/>
      <c r="SC35" s="4"/>
      <c r="SN35" s="2"/>
      <c r="SQ35" s="4"/>
      <c r="SS35" s="4"/>
      <c r="TG35" s="2"/>
      <c r="TH35" s="2"/>
      <c r="TI35" s="2"/>
      <c r="TU35" s="4"/>
      <c r="TW35" s="4"/>
    </row>
    <row r="36" spans="1:543">
      <c r="A36">
        <v>8923</v>
      </c>
      <c r="B36">
        <v>8935</v>
      </c>
      <c r="C36" s="3" t="s">
        <v>227</v>
      </c>
      <c r="D36" t="s">
        <v>228</v>
      </c>
      <c r="E36" t="s">
        <v>229</v>
      </c>
      <c r="F36" t="s">
        <v>230</v>
      </c>
      <c r="G36" s="2">
        <v>39667</v>
      </c>
      <c r="H36" t="s">
        <v>43</v>
      </c>
      <c r="I36" t="s">
        <v>31</v>
      </c>
      <c r="J36" t="s">
        <v>61</v>
      </c>
      <c r="K36" t="s">
        <v>231</v>
      </c>
      <c r="L36" t="s">
        <v>77</v>
      </c>
      <c r="M36" s="2">
        <v>35063</v>
      </c>
      <c r="N36" t="s">
        <v>232</v>
      </c>
      <c r="O36" s="2">
        <f>DATE(YEAR(G36) + P36, MONTH(G36), DAY(G36))</f>
        <v>63773</v>
      </c>
      <c r="P36">
        <v>66</v>
      </c>
      <c r="Q36" s="2"/>
      <c r="R36" t="s">
        <v>47</v>
      </c>
      <c r="S36" t="s">
        <v>48</v>
      </c>
      <c r="T36" s="2">
        <v>34249</v>
      </c>
      <c r="U36" t="s">
        <v>65</v>
      </c>
      <c r="V36" t="s">
        <v>56</v>
      </c>
      <c r="W36">
        <v>22</v>
      </c>
      <c r="X36" s="1">
        <v>41697</v>
      </c>
      <c r="Y36" s="1">
        <v>8339.4</v>
      </c>
      <c r="Z36" s="1">
        <v>33357.599999999999</v>
      </c>
      <c r="AA36" s="3">
        <v>256</v>
      </c>
      <c r="AK36" s="3"/>
      <c r="AM36" s="4"/>
      <c r="AO36" s="4"/>
      <c r="BA36" s="2"/>
      <c r="BB36" s="2"/>
      <c r="BD36" s="4"/>
      <c r="BF36" s="4"/>
      <c r="BM36" s="2"/>
      <c r="BO36" s="4"/>
      <c r="CI36" s="2"/>
      <c r="CJ36" s="2"/>
      <c r="CN36" s="2"/>
      <c r="CQ36" s="2"/>
      <c r="CV36" s="4"/>
      <c r="CX36" s="4"/>
      <c r="DB36" s="2"/>
      <c r="DC36" s="2"/>
      <c r="DE36" s="2"/>
      <c r="DF36" s="2"/>
      <c r="DV36" s="2"/>
      <c r="DW36" s="2"/>
      <c r="EF36" s="4"/>
      <c r="EH36" s="4"/>
      <c r="ER36" s="2"/>
      <c r="ES36" s="2"/>
      <c r="EX36" s="4"/>
      <c r="EZ36" s="4"/>
      <c r="FQ36" s="4"/>
      <c r="FS36" s="4"/>
      <c r="GE36" s="2"/>
      <c r="GJ36" s="4"/>
      <c r="GL36" s="4"/>
      <c r="GR36" s="2"/>
      <c r="GV36" s="2"/>
      <c r="GY36" s="3"/>
      <c r="HB36" s="3"/>
      <c r="HP36" s="2"/>
      <c r="HU36" s="4"/>
      <c r="II36" s="4"/>
      <c r="IK36" s="4"/>
      <c r="IS36" s="2"/>
      <c r="IT36" s="2"/>
      <c r="IV36" s="2"/>
      <c r="IW36" s="4"/>
      <c r="IY36" s="4"/>
      <c r="JH36" s="2"/>
      <c r="JK36" s="4"/>
      <c r="JM36" s="4"/>
      <c r="JZ36" s="2"/>
      <c r="KD36" s="4"/>
      <c r="KF36" s="4"/>
      <c r="KJ36" s="4"/>
      <c r="KT36" s="2"/>
      <c r="KU36" s="2"/>
      <c r="KW36" s="2"/>
      <c r="LC36" s="2"/>
      <c r="LF36" s="2"/>
      <c r="LK36" s="2"/>
      <c r="LT36" s="4"/>
      <c r="LV36" s="4"/>
      <c r="NB36" s="2"/>
      <c r="NC36" s="2"/>
      <c r="NH36" s="3"/>
      <c r="NJ36" s="2"/>
      <c r="NN36" s="2"/>
      <c r="NT36" s="4"/>
      <c r="NV36" s="4"/>
      <c r="OA36" s="2"/>
      <c r="OB36" s="2"/>
      <c r="ON36" s="2"/>
      <c r="OR36" s="4"/>
      <c r="OT36" s="4"/>
      <c r="PD36" s="2"/>
      <c r="PH36" s="2"/>
      <c r="PK36" s="3"/>
      <c r="PQ36" s="2"/>
      <c r="PX36" s="2"/>
      <c r="PZ36" s="2"/>
      <c r="QF36" s="4"/>
      <c r="QH36" s="4"/>
      <c r="QZ36" s="2"/>
      <c r="RA36" s="2"/>
      <c r="RN36" s="4"/>
      <c r="RO36" s="4"/>
      <c r="RR36" s="2"/>
      <c r="RT36" s="2"/>
      <c r="RU36" s="2"/>
      <c r="SA36" s="4"/>
      <c r="SC36" s="4"/>
      <c r="SM36" s="3"/>
      <c r="SN36" s="2"/>
      <c r="SQ36" s="4"/>
      <c r="SS36" s="4"/>
      <c r="TG36" s="2"/>
      <c r="TH36" s="2"/>
      <c r="TI36" s="2"/>
      <c r="TN36" s="3"/>
      <c r="TU36" s="4"/>
      <c r="TW36" s="4"/>
    </row>
    <row r="37" spans="1:543">
      <c r="A37">
        <v>5327</v>
      </c>
      <c r="B37">
        <v>4754</v>
      </c>
      <c r="C37">
        <v>5673878387</v>
      </c>
      <c r="D37" t="s">
        <v>233</v>
      </c>
      <c r="E37" t="s">
        <v>234</v>
      </c>
      <c r="F37" t="s">
        <v>235</v>
      </c>
      <c r="G37" s="2"/>
      <c r="H37" t="s">
        <v>43</v>
      </c>
      <c r="I37" t="s">
        <v>236</v>
      </c>
      <c r="J37" t="s">
        <v>61</v>
      </c>
      <c r="K37" t="s">
        <v>237</v>
      </c>
      <c r="L37" t="s">
        <v>77</v>
      </c>
      <c r="M37" s="2">
        <v>34189</v>
      </c>
      <c r="N37" t="s">
        <v>238</v>
      </c>
      <c r="O37" s="2">
        <f>DATE(YEAR(G37) + P37, MONTH(G37), DAY(G37))</f>
        <v>22281</v>
      </c>
      <c r="P37">
        <v>61</v>
      </c>
      <c r="Q37" s="2">
        <v>42682</v>
      </c>
      <c r="R37" t="s">
        <v>36</v>
      </c>
      <c r="S37" t="s">
        <v>48</v>
      </c>
      <c r="T37" s="2">
        <v>45201</v>
      </c>
      <c r="U37" t="s">
        <v>38</v>
      </c>
      <c r="V37" t="s">
        <v>39</v>
      </c>
      <c r="W37">
        <v>26</v>
      </c>
      <c r="X37" s="1">
        <v>3604</v>
      </c>
      <c r="Y37" s="1">
        <v>720.80000000000007</v>
      </c>
      <c r="Z37" s="1">
        <v>2883.2</v>
      </c>
      <c r="AA37" s="3">
        <v>158</v>
      </c>
      <c r="AK37" s="3"/>
      <c r="AM37" s="4"/>
      <c r="AO37" s="4"/>
      <c r="BA37" s="2"/>
      <c r="BB37" s="2"/>
      <c r="BD37" s="4"/>
      <c r="BF37" s="4"/>
      <c r="BM37" s="2"/>
      <c r="BO37" s="4"/>
      <c r="BQ37" s="4"/>
      <c r="CI37" s="2"/>
      <c r="CJ37" s="2"/>
      <c r="CM37" s="3"/>
      <c r="CN37" s="2"/>
      <c r="CQ37" s="2"/>
      <c r="CV37" s="4"/>
      <c r="CX37" s="4"/>
      <c r="DB37" s="2"/>
      <c r="DC37" s="2"/>
      <c r="DE37" s="2"/>
      <c r="DF37" s="2"/>
      <c r="DW37" s="2"/>
      <c r="EF37" s="4"/>
      <c r="EH37" s="4"/>
      <c r="ER37" s="2"/>
      <c r="ES37" s="2"/>
      <c r="EX37" s="4"/>
      <c r="EZ37" s="4"/>
      <c r="FQ37" s="4"/>
      <c r="FS37" s="4"/>
      <c r="GD37" s="3"/>
      <c r="GE37" s="2"/>
      <c r="GG37" s="3"/>
      <c r="GJ37" s="4"/>
      <c r="GL37" s="4"/>
      <c r="GR37" s="2"/>
      <c r="GT37" s="3"/>
      <c r="GU37" s="3"/>
      <c r="GV37" s="2"/>
      <c r="GX37" s="3"/>
      <c r="HB37" s="3"/>
      <c r="HP37" s="2"/>
      <c r="HS37" s="4"/>
      <c r="HU37" s="4"/>
      <c r="II37" s="4"/>
      <c r="IK37" s="4"/>
      <c r="IS37" s="2"/>
      <c r="IT37" s="2"/>
      <c r="IV37" s="2"/>
      <c r="IW37" s="4"/>
      <c r="IY37" s="4"/>
      <c r="JH37" s="2"/>
      <c r="JM37" s="4"/>
      <c r="JZ37" s="2"/>
      <c r="KA37" s="3"/>
      <c r="KD37" s="4"/>
      <c r="KF37" s="4"/>
      <c r="KI37" s="3"/>
      <c r="KJ37" s="4"/>
      <c r="KT37" s="2"/>
      <c r="KU37" s="2"/>
      <c r="KW37" s="2"/>
      <c r="LC37" s="2"/>
      <c r="LF37" s="2"/>
      <c r="LK37" s="2"/>
      <c r="LT37" s="4"/>
      <c r="LV37" s="4"/>
      <c r="MI37" s="3"/>
      <c r="NB37" s="2"/>
      <c r="NC37" s="2"/>
      <c r="NJ37" s="2"/>
      <c r="NO37" s="2"/>
      <c r="NT37" s="4"/>
      <c r="NV37" s="4"/>
      <c r="OA37" s="2"/>
      <c r="OB37" s="2"/>
      <c r="ON37" s="2"/>
      <c r="OR37" s="4"/>
      <c r="PD37" s="2"/>
      <c r="PQ37" s="2"/>
      <c r="PX37" s="2"/>
      <c r="PZ37" s="2"/>
      <c r="QF37" s="4"/>
      <c r="QH37" s="4"/>
      <c r="QZ37" s="2"/>
      <c r="RA37" s="2"/>
      <c r="RN37" s="4"/>
      <c r="RO37" s="4"/>
      <c r="RR37" s="2"/>
      <c r="RT37" s="2"/>
      <c r="RU37" s="2"/>
      <c r="SA37" s="4"/>
      <c r="SC37" s="4"/>
      <c r="SN37" s="2"/>
      <c r="SQ37" s="4"/>
      <c r="SS37" s="4"/>
      <c r="TG37" s="2"/>
      <c r="TH37" s="2"/>
      <c r="TI37" s="2"/>
      <c r="TP37" s="3"/>
      <c r="TU37" s="4"/>
      <c r="TW37" s="4"/>
    </row>
    <row r="38" spans="1:543">
      <c r="A38">
        <v>5778</v>
      </c>
      <c r="B38">
        <v>4510</v>
      </c>
      <c r="C38">
        <v>4917801538</v>
      </c>
      <c r="D38" t="s">
        <v>72</v>
      </c>
      <c r="E38" t="s">
        <v>239</v>
      </c>
      <c r="F38" t="s">
        <v>240</v>
      </c>
      <c r="G38" s="2">
        <v>36738</v>
      </c>
      <c r="H38" t="s">
        <v>43</v>
      </c>
      <c r="I38" t="s">
        <v>70</v>
      </c>
      <c r="J38" t="s">
        <v>32</v>
      </c>
      <c r="K38" t="s">
        <v>241</v>
      </c>
      <c r="L38" t="s">
        <v>34</v>
      </c>
      <c r="M38" s="2"/>
      <c r="N38" t="s">
        <v>242</v>
      </c>
      <c r="O38" s="2">
        <f>DATE(YEAR(G38) + P38, MONTH(G38), DAY(G38))</f>
        <v>59018</v>
      </c>
      <c r="P38">
        <v>61</v>
      </c>
      <c r="Q38" s="2">
        <v>41908</v>
      </c>
      <c r="R38" t="s">
        <v>36</v>
      </c>
      <c r="S38" t="s">
        <v>181</v>
      </c>
      <c r="T38" s="2">
        <v>22677</v>
      </c>
      <c r="U38" t="s">
        <v>49</v>
      </c>
      <c r="V38" t="s">
        <v>38</v>
      </c>
      <c r="W38">
        <v>24</v>
      </c>
      <c r="X38" s="1">
        <v>38996</v>
      </c>
      <c r="Y38" s="1">
        <v>7799.2000000000007</v>
      </c>
      <c r="Z38" s="1">
        <v>31196.799999999999</v>
      </c>
      <c r="AA38" s="3">
        <v>854</v>
      </c>
      <c r="AK38" s="3"/>
      <c r="AM38" s="4"/>
      <c r="AO38" s="4"/>
      <c r="BA38" s="2"/>
      <c r="BB38" s="2"/>
      <c r="BD38" s="4"/>
      <c r="BF38" s="4"/>
      <c r="BM38" s="2"/>
      <c r="BO38" s="4"/>
      <c r="BQ38" s="4"/>
      <c r="CI38" s="2"/>
      <c r="CJ38" s="2"/>
      <c r="CN38" s="2"/>
      <c r="CQ38" s="2"/>
      <c r="CV38" s="4"/>
      <c r="CX38" s="4"/>
      <c r="DB38" s="2"/>
      <c r="DC38" s="2"/>
      <c r="DE38" s="2"/>
      <c r="DV38" s="2"/>
      <c r="DW38" s="2"/>
      <c r="EF38" s="4"/>
      <c r="EH38" s="4"/>
      <c r="ER38" s="2"/>
      <c r="ES38" s="2"/>
      <c r="EX38" s="4"/>
      <c r="EZ38" s="4"/>
      <c r="FQ38" s="4"/>
      <c r="FS38" s="4"/>
      <c r="GE38" s="2"/>
      <c r="GJ38" s="4"/>
      <c r="GL38" s="4"/>
      <c r="GR38" s="2"/>
      <c r="GT38" s="3"/>
      <c r="GV38" s="2"/>
      <c r="GX38" s="3"/>
      <c r="HB38" s="3"/>
      <c r="HP38" s="2"/>
      <c r="HS38" s="4"/>
      <c r="HU38" s="4"/>
      <c r="IF38" s="3"/>
      <c r="II38" s="4"/>
      <c r="IK38" s="4"/>
      <c r="IS38" s="2"/>
      <c r="IT38" s="2"/>
      <c r="IV38" s="2"/>
      <c r="IW38" s="4"/>
      <c r="IY38" s="4"/>
      <c r="JH38" s="2"/>
      <c r="JK38" s="4"/>
      <c r="JM38" s="4"/>
      <c r="JZ38" s="2"/>
      <c r="KD38" s="4"/>
      <c r="KF38" s="4"/>
      <c r="KJ38" s="4"/>
      <c r="KU38" s="2"/>
      <c r="KW38" s="2"/>
      <c r="LC38" s="2"/>
      <c r="LF38" s="2"/>
      <c r="LK38" s="2"/>
      <c r="LT38" s="4"/>
      <c r="LV38" s="4"/>
      <c r="NB38" s="2"/>
      <c r="NC38" s="2"/>
      <c r="NJ38" s="2"/>
      <c r="NN38" s="2"/>
      <c r="NO38" s="2"/>
      <c r="NT38" s="4"/>
      <c r="NV38" s="4"/>
      <c r="OB38" s="2"/>
      <c r="OR38" s="4"/>
      <c r="OT38" s="4"/>
      <c r="PD38" s="2"/>
      <c r="PH38" s="2"/>
      <c r="PQ38" s="2"/>
      <c r="PX38" s="2"/>
      <c r="PZ38" s="2"/>
      <c r="QF38" s="4"/>
      <c r="QH38" s="4"/>
      <c r="QZ38" s="2"/>
      <c r="RA38" s="2"/>
      <c r="RN38" s="4"/>
      <c r="RO38" s="4"/>
      <c r="RR38" s="2"/>
      <c r="RT38" s="2"/>
      <c r="RU38" s="2"/>
      <c r="SA38" s="4"/>
      <c r="SC38" s="4"/>
      <c r="SM38" s="3"/>
      <c r="SN38" s="2"/>
      <c r="SS38" s="4"/>
      <c r="TG38" s="2"/>
      <c r="TH38" s="2"/>
      <c r="TI38" s="2"/>
      <c r="TU38" s="4"/>
      <c r="TW38" s="4"/>
    </row>
    <row r="39" spans="1:543">
      <c r="A39">
        <v>3609</v>
      </c>
      <c r="B39">
        <v>1366</v>
      </c>
      <c r="C39">
        <v>5410296920</v>
      </c>
      <c r="D39" t="s">
        <v>243</v>
      </c>
      <c r="E39" t="s">
        <v>244</v>
      </c>
      <c r="F39" t="s">
        <v>245</v>
      </c>
      <c r="G39" s="2">
        <v>29459</v>
      </c>
      <c r="H39" t="s">
        <v>43</v>
      </c>
      <c r="I39" t="s">
        <v>60</v>
      </c>
      <c r="J39" t="s">
        <v>32</v>
      </c>
      <c r="K39" t="s">
        <v>246</v>
      </c>
      <c r="L39" t="s">
        <v>34</v>
      </c>
      <c r="M39" s="2"/>
      <c r="N39" t="s">
        <v>247</v>
      </c>
      <c r="O39" s="2">
        <f>DATE(YEAR(G39) + P39, MONTH(G39), DAY(G39))</f>
        <v>52469</v>
      </c>
      <c r="P39">
        <v>63</v>
      </c>
      <c r="Q39" s="2"/>
      <c r="R39" t="s">
        <v>47</v>
      </c>
      <c r="S39" t="s">
        <v>109</v>
      </c>
      <c r="T39" s="2">
        <v>44897</v>
      </c>
      <c r="U39" t="s">
        <v>38</v>
      </c>
      <c r="V39" t="s">
        <v>38</v>
      </c>
      <c r="W39">
        <v>24</v>
      </c>
      <c r="X39" s="1">
        <v>17507</v>
      </c>
      <c r="Y39" s="1">
        <v>3501.4</v>
      </c>
      <c r="Z39" s="1">
        <v>14005.6</v>
      </c>
      <c r="AA39" s="3">
        <v>20</v>
      </c>
      <c r="AB39" s="3"/>
      <c r="AJ39" s="3"/>
      <c r="AK39" s="3"/>
      <c r="AM39" s="4"/>
      <c r="AO39" s="4"/>
      <c r="BA39" s="2"/>
      <c r="BB39" s="2"/>
      <c r="BD39" s="4"/>
      <c r="BF39" s="4"/>
      <c r="BM39" s="2"/>
      <c r="BO39" s="4"/>
      <c r="BQ39" s="4"/>
      <c r="CI39" s="2"/>
      <c r="CJ39" s="2"/>
      <c r="CN39" s="2"/>
      <c r="CQ39" s="2"/>
      <c r="CX39" s="4"/>
      <c r="DC39" s="2"/>
      <c r="DE39" s="2"/>
      <c r="DF39" s="2"/>
      <c r="DV39" s="2"/>
      <c r="DW39" s="2"/>
      <c r="EF39" s="4"/>
      <c r="EH39" s="4"/>
      <c r="ER39" s="2"/>
      <c r="ES39" s="2"/>
      <c r="EX39" s="4"/>
      <c r="EZ39" s="4"/>
      <c r="FQ39" s="4"/>
      <c r="FS39" s="4"/>
      <c r="GJ39" s="4"/>
      <c r="GL39" s="4"/>
      <c r="GR39" s="2"/>
      <c r="GT39" s="3"/>
      <c r="GU39" s="3"/>
      <c r="GV39" s="2"/>
      <c r="GX39" s="3"/>
      <c r="HP39" s="2"/>
      <c r="HS39" s="4"/>
      <c r="HU39" s="4"/>
      <c r="II39" s="4"/>
      <c r="IK39" s="4"/>
      <c r="IS39" s="2"/>
      <c r="IT39" s="2"/>
      <c r="IV39" s="2"/>
      <c r="IW39" s="4"/>
      <c r="IY39" s="4"/>
      <c r="JH39" s="2"/>
      <c r="JK39" s="4"/>
      <c r="JM39" s="4"/>
      <c r="JZ39" s="2"/>
      <c r="KD39" s="4"/>
      <c r="KF39" s="4"/>
      <c r="KJ39" s="4"/>
      <c r="KT39" s="2"/>
      <c r="KU39" s="2"/>
      <c r="LC39" s="2"/>
      <c r="LF39" s="2"/>
      <c r="LK39" s="2"/>
      <c r="LT39" s="4"/>
      <c r="LV39" s="4"/>
      <c r="ML39" s="3"/>
      <c r="MN39" s="5"/>
      <c r="NB39" s="2"/>
      <c r="NJ39" s="2"/>
      <c r="NN39" s="2"/>
      <c r="NO39" s="2"/>
      <c r="NT39" s="4"/>
      <c r="NV39" s="4"/>
      <c r="OA39" s="2"/>
      <c r="OB39" s="2"/>
      <c r="ON39" s="2"/>
      <c r="OR39" s="4"/>
      <c r="OT39" s="4"/>
      <c r="PD39" s="2"/>
      <c r="PH39" s="2"/>
      <c r="PQ39" s="2"/>
      <c r="PX39" s="2"/>
      <c r="PZ39" s="2"/>
      <c r="QF39" s="4"/>
      <c r="QH39" s="4"/>
      <c r="QJ39" s="3"/>
      <c r="QZ39" s="2"/>
      <c r="RA39" s="2"/>
      <c r="RN39" s="4"/>
      <c r="RO39" s="4"/>
      <c r="RR39" s="2"/>
      <c r="RT39" s="2"/>
      <c r="RU39" s="2"/>
      <c r="SA39" s="4"/>
      <c r="SC39" s="4"/>
      <c r="SQ39" s="4"/>
      <c r="SS39" s="4"/>
      <c r="TG39" s="2"/>
      <c r="TH39" s="2"/>
      <c r="TI39" s="2"/>
      <c r="TU39" s="4"/>
    </row>
    <row r="40" spans="1:543">
      <c r="A40">
        <v>5816</v>
      </c>
      <c r="B40">
        <v>3727</v>
      </c>
      <c r="C40" s="3" t="s">
        <v>248</v>
      </c>
      <c r="D40" t="s">
        <v>50</v>
      </c>
      <c r="E40" t="s">
        <v>249</v>
      </c>
      <c r="F40" t="s">
        <v>250</v>
      </c>
      <c r="G40" s="2">
        <v>26267</v>
      </c>
      <c r="H40" t="s">
        <v>30</v>
      </c>
      <c r="I40" t="s">
        <v>130</v>
      </c>
      <c r="J40" t="s">
        <v>32</v>
      </c>
      <c r="K40" t="s">
        <v>251</v>
      </c>
      <c r="L40" t="s">
        <v>77</v>
      </c>
      <c r="M40" s="2"/>
      <c r="N40" t="s">
        <v>252</v>
      </c>
      <c r="O40" s="2">
        <f>DATE(YEAR(G40) + P40, MONTH(G40), DAY(G40))</f>
        <v>48548</v>
      </c>
      <c r="P40">
        <v>61</v>
      </c>
      <c r="Q40" s="2"/>
      <c r="R40" t="s">
        <v>47</v>
      </c>
      <c r="S40" t="s">
        <v>48</v>
      </c>
      <c r="T40" s="2">
        <v>28412</v>
      </c>
      <c r="U40" t="s">
        <v>38</v>
      </c>
      <c r="V40" t="s">
        <v>39</v>
      </c>
      <c r="W40">
        <v>22</v>
      </c>
      <c r="X40" s="1">
        <v>24650</v>
      </c>
      <c r="Y40" s="1">
        <v>4930</v>
      </c>
      <c r="Z40" s="1">
        <v>19720</v>
      </c>
      <c r="AA40" s="3">
        <v>531</v>
      </c>
      <c r="AK40" s="3"/>
      <c r="AM40" s="4"/>
      <c r="AO40" s="4"/>
      <c r="BA40" s="2"/>
      <c r="BB40" s="2"/>
      <c r="BD40" s="4"/>
      <c r="BF40" s="4"/>
      <c r="BM40" s="2"/>
      <c r="BO40" s="4"/>
      <c r="CI40" s="2"/>
      <c r="CN40" s="2"/>
      <c r="CQ40" s="2"/>
      <c r="CV40" s="4"/>
      <c r="CX40" s="4"/>
      <c r="DB40" s="2"/>
      <c r="DC40" s="2"/>
      <c r="DE40" s="2"/>
      <c r="DF40" s="2"/>
      <c r="DV40" s="2"/>
      <c r="DW40" s="2"/>
      <c r="EF40" s="4"/>
      <c r="EH40" s="4"/>
      <c r="ER40" s="2"/>
      <c r="ES40" s="2"/>
      <c r="EX40" s="4"/>
      <c r="EZ40" s="4"/>
      <c r="FQ40" s="4"/>
      <c r="FS40" s="4"/>
      <c r="GE40" s="2"/>
      <c r="GJ40" s="4"/>
      <c r="GL40" s="4"/>
      <c r="GR40" s="2"/>
      <c r="GS40" s="3"/>
      <c r="GV40" s="2"/>
      <c r="GX40" s="3"/>
      <c r="HP40" s="2"/>
      <c r="HS40" s="4"/>
      <c r="HU40" s="4"/>
      <c r="IK40" s="4"/>
      <c r="IS40" s="2"/>
      <c r="IT40" s="2"/>
      <c r="IV40" s="2"/>
      <c r="IW40" s="4"/>
      <c r="IY40" s="4"/>
      <c r="JH40" s="2"/>
      <c r="JK40" s="4"/>
      <c r="JM40" s="4"/>
      <c r="JZ40" s="2"/>
      <c r="KD40" s="4"/>
      <c r="KF40" s="4"/>
      <c r="KJ40" s="4"/>
      <c r="KT40" s="2"/>
      <c r="KU40" s="2"/>
      <c r="KW40" s="2"/>
      <c r="LC40" s="2"/>
      <c r="LF40" s="2"/>
      <c r="LK40" s="2"/>
      <c r="LT40" s="4"/>
      <c r="LV40" s="4"/>
      <c r="MA40" s="3"/>
      <c r="NB40" s="2"/>
      <c r="NC40" s="2"/>
      <c r="NJ40" s="2"/>
      <c r="NN40" s="2"/>
      <c r="NO40" s="2"/>
      <c r="NT40" s="4"/>
      <c r="NV40" s="4"/>
      <c r="OA40" s="2"/>
      <c r="OB40" s="2"/>
      <c r="ON40" s="2"/>
      <c r="OR40" s="4"/>
      <c r="OT40" s="4"/>
      <c r="PD40" s="2"/>
      <c r="PH40" s="2"/>
      <c r="PQ40" s="2"/>
      <c r="PX40" s="2"/>
      <c r="PZ40" s="2"/>
      <c r="QF40" s="4"/>
      <c r="QH40" s="4"/>
      <c r="QZ40" s="2"/>
      <c r="RA40" s="2"/>
      <c r="RN40" s="4"/>
      <c r="RO40" s="4"/>
      <c r="RR40" s="2"/>
      <c r="RT40" s="2"/>
      <c r="RU40" s="2"/>
      <c r="SA40" s="4"/>
      <c r="SC40" s="4"/>
      <c r="SN40" s="2"/>
      <c r="SQ40" s="4"/>
      <c r="SS40" s="4"/>
      <c r="TG40" s="2"/>
      <c r="TH40" s="2"/>
      <c r="TI40" s="2"/>
      <c r="TU40" s="4"/>
    </row>
    <row r="41" spans="1:543">
      <c r="A41">
        <v>6940</v>
      </c>
      <c r="B41">
        <v>7502</v>
      </c>
      <c r="C41">
        <v>1274139766</v>
      </c>
      <c r="D41" t="s">
        <v>253</v>
      </c>
      <c r="E41" t="s">
        <v>254</v>
      </c>
      <c r="F41" t="s">
        <v>255</v>
      </c>
      <c r="G41" s="2">
        <v>40451</v>
      </c>
      <c r="H41" t="s">
        <v>30</v>
      </c>
      <c r="I41" t="s">
        <v>236</v>
      </c>
      <c r="J41" t="s">
        <v>32</v>
      </c>
      <c r="K41" t="s">
        <v>256</v>
      </c>
      <c r="L41" t="s">
        <v>77</v>
      </c>
      <c r="N41" t="s">
        <v>257</v>
      </c>
      <c r="O41" s="2">
        <f>DATE(YEAR(G41) + P41, MONTH(G41), DAY(G41))</f>
        <v>64192</v>
      </c>
      <c r="P41">
        <v>65</v>
      </c>
      <c r="Q41" s="2"/>
      <c r="R41" t="s">
        <v>47</v>
      </c>
      <c r="S41" t="s">
        <v>181</v>
      </c>
      <c r="T41" s="2">
        <v>39450</v>
      </c>
      <c r="U41" t="s">
        <v>38</v>
      </c>
      <c r="V41" t="s">
        <v>38</v>
      </c>
      <c r="W41">
        <v>16</v>
      </c>
      <c r="X41" s="1">
        <v>46339</v>
      </c>
      <c r="Y41" s="1">
        <v>9267.8000000000011</v>
      </c>
      <c r="Z41" s="1">
        <v>37071.199999999997</v>
      </c>
      <c r="AA41" s="3">
        <v>968</v>
      </c>
      <c r="AK41" s="3"/>
      <c r="AM41" s="4"/>
      <c r="AO41" s="4"/>
      <c r="BA41" s="2"/>
      <c r="BB41" s="2"/>
      <c r="BD41" s="4"/>
      <c r="BF41" s="4"/>
      <c r="BM41" s="2"/>
      <c r="BO41" s="4"/>
      <c r="BQ41" s="4"/>
      <c r="CI41" s="2"/>
      <c r="CJ41" s="2"/>
      <c r="CN41" s="2"/>
      <c r="CQ41" s="2"/>
      <c r="CV41" s="4"/>
      <c r="CX41" s="4"/>
      <c r="DB41" s="2"/>
      <c r="DC41" s="2"/>
      <c r="DE41" s="2"/>
      <c r="DF41" s="2"/>
      <c r="DG41" s="3"/>
      <c r="DV41" s="2"/>
      <c r="DW41" s="2"/>
      <c r="EF41" s="4"/>
      <c r="EH41" s="4"/>
      <c r="ER41" s="2"/>
      <c r="ES41" s="2"/>
      <c r="EX41" s="4"/>
      <c r="EZ41" s="4"/>
      <c r="FQ41" s="4"/>
      <c r="FS41" s="4"/>
      <c r="GE41" s="2"/>
      <c r="GJ41" s="4"/>
      <c r="GL41" s="4"/>
      <c r="GR41" s="2"/>
      <c r="GT41" s="3"/>
      <c r="GU41" s="3"/>
      <c r="GV41" s="2"/>
      <c r="HB41" s="3"/>
      <c r="HP41" s="2"/>
      <c r="HS41" s="4"/>
      <c r="HU41" s="4"/>
      <c r="II41" s="4"/>
      <c r="IK41" s="4"/>
      <c r="IS41" s="2"/>
      <c r="IT41" s="2"/>
      <c r="IV41" s="2"/>
      <c r="IW41" s="4"/>
      <c r="IY41" s="4"/>
      <c r="JH41" s="2"/>
      <c r="JK41" s="4"/>
      <c r="JM41" s="4"/>
      <c r="JZ41" s="2"/>
      <c r="KD41" s="4"/>
      <c r="KF41" s="4"/>
      <c r="KJ41" s="4"/>
      <c r="KT41" s="2"/>
      <c r="KU41" s="2"/>
      <c r="KW41" s="2"/>
      <c r="LC41" s="2"/>
      <c r="LF41" s="2"/>
      <c r="LK41" s="2"/>
      <c r="LT41" s="4"/>
      <c r="LV41" s="4"/>
      <c r="NB41" s="2"/>
      <c r="NC41" s="2"/>
      <c r="NJ41" s="2"/>
      <c r="NN41" s="2"/>
      <c r="NO41" s="2"/>
      <c r="NT41" s="4"/>
      <c r="NV41" s="4"/>
      <c r="OA41" s="2"/>
      <c r="OB41" s="2"/>
      <c r="ON41" s="2"/>
      <c r="OR41" s="4"/>
      <c r="OT41" s="4"/>
      <c r="PD41" s="2"/>
      <c r="PH41" s="2"/>
      <c r="PQ41" s="2"/>
      <c r="PX41" s="2"/>
      <c r="PZ41" s="2"/>
      <c r="QF41" s="4"/>
      <c r="QH41" s="4"/>
      <c r="QZ41" s="2"/>
      <c r="RA41" s="2"/>
      <c r="RN41" s="4"/>
      <c r="RO41" s="4"/>
      <c r="RT41" s="2"/>
      <c r="RU41" s="2"/>
      <c r="SA41" s="4"/>
      <c r="SC41" s="4"/>
      <c r="SN41" s="2"/>
      <c r="SQ41" s="4"/>
      <c r="SS41" s="4"/>
      <c r="TG41" s="2"/>
      <c r="TI41" s="2"/>
      <c r="TU41" s="4"/>
      <c r="TW41" s="4"/>
    </row>
    <row r="42" spans="1:543">
      <c r="A42">
        <v>4299</v>
      </c>
      <c r="B42">
        <v>1419</v>
      </c>
      <c r="C42">
        <v>6398808681</v>
      </c>
      <c r="D42" t="s">
        <v>134</v>
      </c>
      <c r="E42" t="s">
        <v>258</v>
      </c>
      <c r="F42" t="s">
        <v>259</v>
      </c>
      <c r="G42" s="2">
        <v>39787</v>
      </c>
      <c r="H42" t="s">
        <v>43</v>
      </c>
      <c r="I42" t="s">
        <v>260</v>
      </c>
      <c r="J42" t="s">
        <v>32</v>
      </c>
      <c r="K42" t="s">
        <v>261</v>
      </c>
      <c r="L42" t="s">
        <v>77</v>
      </c>
      <c r="M42" s="2"/>
      <c r="N42" t="s">
        <v>262</v>
      </c>
      <c r="O42" s="2">
        <f>DATE(YEAR(G42) + P42, MONTH(G42), DAY(G42))</f>
        <v>63528</v>
      </c>
      <c r="P42">
        <v>65</v>
      </c>
      <c r="Q42" s="2"/>
      <c r="R42" t="s">
        <v>47</v>
      </c>
      <c r="S42" t="s">
        <v>109</v>
      </c>
      <c r="T42" s="2">
        <v>40470</v>
      </c>
      <c r="U42" t="s">
        <v>38</v>
      </c>
      <c r="V42" t="s">
        <v>38</v>
      </c>
      <c r="W42">
        <v>17</v>
      </c>
      <c r="X42" s="1">
        <v>65416</v>
      </c>
      <c r="Y42" s="1">
        <v>13083.2</v>
      </c>
      <c r="Z42" s="1">
        <v>52332.800000000003</v>
      </c>
      <c r="AA42" s="3">
        <v>845</v>
      </c>
      <c r="AB42" s="3"/>
      <c r="AK42" s="3"/>
      <c r="AM42" s="4"/>
      <c r="AO42" s="4"/>
      <c r="BA42" s="2"/>
      <c r="BB42" s="2"/>
      <c r="BD42" s="4"/>
      <c r="BF42" s="4"/>
      <c r="BM42" s="2"/>
      <c r="BO42" s="4"/>
      <c r="BQ42" s="4"/>
      <c r="CH42" s="3"/>
      <c r="CI42" s="2"/>
      <c r="CJ42" s="2"/>
      <c r="CN42" s="2"/>
      <c r="CP42" s="3"/>
      <c r="CQ42" s="2"/>
      <c r="CV42" s="4"/>
      <c r="DB42" s="2"/>
      <c r="DC42" s="2"/>
      <c r="DE42" s="2"/>
      <c r="DF42" s="2"/>
      <c r="DV42" s="2"/>
      <c r="DW42" s="2"/>
      <c r="EF42" s="4"/>
      <c r="EH42" s="4"/>
      <c r="ER42" s="2"/>
      <c r="ES42" s="2"/>
      <c r="EX42" s="4"/>
      <c r="EZ42" s="4"/>
      <c r="FQ42" s="4"/>
      <c r="FS42" s="4"/>
      <c r="GD42" s="3"/>
      <c r="GE42" s="2"/>
      <c r="GJ42" s="4"/>
      <c r="GL42" s="4"/>
      <c r="GR42" s="2"/>
      <c r="GT42" s="3"/>
      <c r="GU42" s="3"/>
      <c r="GV42" s="2"/>
      <c r="GY42" s="3"/>
      <c r="HB42" s="3"/>
      <c r="HP42" s="2"/>
      <c r="HS42" s="4"/>
      <c r="HU42" s="4"/>
      <c r="II42" s="4"/>
      <c r="IK42" s="4"/>
      <c r="IS42" s="2"/>
      <c r="IT42" s="2"/>
      <c r="IV42" s="2"/>
      <c r="IW42" s="4"/>
      <c r="IY42" s="4"/>
      <c r="JH42" s="2"/>
      <c r="JK42" s="4"/>
      <c r="JZ42" s="2"/>
      <c r="KD42" s="4"/>
      <c r="KF42" s="4"/>
      <c r="KJ42" s="4"/>
      <c r="KT42" s="2"/>
      <c r="KU42" s="2"/>
      <c r="KW42" s="2"/>
      <c r="LC42" s="2"/>
      <c r="LF42" s="2"/>
      <c r="LK42" s="2"/>
      <c r="LT42" s="4"/>
      <c r="LV42" s="4"/>
      <c r="MJ42" s="3"/>
      <c r="ML42" s="3"/>
      <c r="NB42" s="2"/>
      <c r="NC42" s="2"/>
      <c r="NJ42" s="2"/>
      <c r="NM42" s="3"/>
      <c r="NN42" s="2"/>
      <c r="NO42" s="2"/>
      <c r="NT42" s="4"/>
      <c r="NV42" s="4"/>
      <c r="OA42" s="2"/>
      <c r="OB42" s="2"/>
      <c r="ON42" s="2"/>
      <c r="OR42" s="4"/>
      <c r="OT42" s="4"/>
      <c r="PD42" s="2"/>
      <c r="PH42" s="2"/>
      <c r="PK42" s="3"/>
      <c r="PN42" s="3"/>
      <c r="PQ42" s="2"/>
      <c r="PX42" s="2"/>
      <c r="PZ42" s="2"/>
      <c r="QH42" s="4"/>
      <c r="QZ42" s="2"/>
      <c r="RA42" s="2"/>
      <c r="RN42" s="4"/>
      <c r="RO42" s="4"/>
      <c r="RR42" s="2"/>
      <c r="RT42" s="2"/>
      <c r="RU42" s="2"/>
      <c r="SA42" s="4"/>
      <c r="SC42" s="4"/>
      <c r="SN42" s="2"/>
      <c r="SQ42" s="4"/>
      <c r="SS42" s="4"/>
      <c r="TG42" s="2"/>
      <c r="TH42" s="2"/>
      <c r="TI42" s="2"/>
      <c r="TU42" s="4"/>
      <c r="TW42" s="4"/>
    </row>
    <row r="43" spans="1:543">
      <c r="A43">
        <v>289</v>
      </c>
      <c r="B43">
        <v>9863</v>
      </c>
      <c r="C43">
        <v>3262046702</v>
      </c>
      <c r="D43" t="s">
        <v>222</v>
      </c>
      <c r="E43" t="s">
        <v>263</v>
      </c>
      <c r="F43" t="s">
        <v>264</v>
      </c>
      <c r="G43" s="2">
        <v>40501</v>
      </c>
      <c r="H43" t="s">
        <v>43</v>
      </c>
      <c r="I43" t="s">
        <v>31</v>
      </c>
      <c r="J43" t="s">
        <v>32</v>
      </c>
      <c r="K43" t="s">
        <v>265</v>
      </c>
      <c r="L43" t="s">
        <v>77</v>
      </c>
      <c r="M43" s="2"/>
      <c r="N43" t="s">
        <v>266</v>
      </c>
      <c r="O43" s="2">
        <f>DATE(YEAR(G43) + P43, MONTH(G43), DAY(G43))</f>
        <v>62416</v>
      </c>
      <c r="P43">
        <v>60</v>
      </c>
      <c r="Q43" s="2"/>
      <c r="R43" t="s">
        <v>47</v>
      </c>
      <c r="S43" t="s">
        <v>64</v>
      </c>
      <c r="T43" s="2">
        <v>44135</v>
      </c>
      <c r="U43" t="s">
        <v>65</v>
      </c>
      <c r="V43" t="s">
        <v>56</v>
      </c>
      <c r="W43">
        <v>4</v>
      </c>
      <c r="X43" s="1">
        <v>45147</v>
      </c>
      <c r="Y43" s="1">
        <v>9029.4</v>
      </c>
      <c r="Z43" s="1">
        <v>36117.599999999999</v>
      </c>
      <c r="AA43" s="3">
        <v>663</v>
      </c>
      <c r="AB43" s="3"/>
      <c r="AK43" s="3"/>
      <c r="AM43" s="4"/>
      <c r="AO43" s="4"/>
      <c r="BA43" s="2"/>
      <c r="BB43" s="2"/>
      <c r="BD43" s="4"/>
      <c r="BF43" s="4"/>
      <c r="BO43" s="4"/>
      <c r="BQ43" s="4"/>
      <c r="CI43" s="2"/>
      <c r="CJ43" s="2"/>
      <c r="CQ43" s="2"/>
      <c r="CV43" s="4"/>
      <c r="CX43" s="4"/>
      <c r="DB43" s="2"/>
      <c r="DC43" s="2"/>
      <c r="DD43" s="3"/>
      <c r="DE43" s="2"/>
      <c r="DF43" s="2"/>
      <c r="DV43" s="2"/>
      <c r="DW43" s="2"/>
      <c r="EF43" s="4"/>
      <c r="EH43" s="4"/>
      <c r="ER43" s="2"/>
      <c r="ES43" s="2"/>
      <c r="EU43" s="3"/>
      <c r="EX43" s="4"/>
      <c r="EZ43" s="4"/>
      <c r="FS43" s="4"/>
      <c r="GE43" s="2"/>
      <c r="GJ43" s="4"/>
      <c r="GL43" s="4"/>
      <c r="GU43" s="3"/>
      <c r="GV43" s="2"/>
      <c r="HB43" s="3"/>
      <c r="HN43" s="3"/>
      <c r="HP43" s="2"/>
      <c r="HS43" s="4"/>
      <c r="HU43" s="4"/>
      <c r="II43" s="4"/>
      <c r="IK43" s="4"/>
      <c r="IS43" s="2"/>
      <c r="IT43" s="2"/>
      <c r="IV43" s="2"/>
      <c r="IW43" s="4"/>
      <c r="JH43" s="2"/>
      <c r="JK43" s="4"/>
      <c r="JM43" s="4"/>
      <c r="JZ43" s="2"/>
      <c r="KD43" s="4"/>
      <c r="KF43" s="4"/>
      <c r="KI43" s="3"/>
      <c r="KJ43" s="4"/>
      <c r="KT43" s="2"/>
      <c r="KU43" s="2"/>
      <c r="KW43" s="2"/>
      <c r="LC43" s="2"/>
      <c r="LK43" s="2"/>
      <c r="LT43" s="4"/>
      <c r="LV43" s="4"/>
      <c r="NB43" s="2"/>
      <c r="NC43" s="2"/>
      <c r="NH43" s="3"/>
      <c r="NJ43" s="2"/>
      <c r="NM43" s="3"/>
      <c r="NN43" s="2"/>
      <c r="NO43" s="2"/>
      <c r="NT43" s="4"/>
      <c r="NV43" s="4"/>
      <c r="OA43" s="2"/>
      <c r="OB43" s="2"/>
      <c r="ON43" s="2"/>
      <c r="OT43" s="4"/>
      <c r="PH43" s="2"/>
      <c r="PQ43" s="2"/>
      <c r="PX43" s="2"/>
      <c r="PZ43" s="2"/>
      <c r="QF43" s="4"/>
      <c r="QH43" s="4"/>
      <c r="QZ43" s="2"/>
      <c r="RA43" s="2"/>
      <c r="RN43" s="4"/>
      <c r="RO43" s="4"/>
      <c r="RT43" s="2"/>
      <c r="RU43" s="2"/>
      <c r="SA43" s="4"/>
      <c r="SC43" s="4"/>
      <c r="SN43" s="2"/>
      <c r="SQ43" s="4"/>
      <c r="SS43" s="4"/>
      <c r="TG43" s="2"/>
      <c r="TH43" s="2"/>
      <c r="TU43" s="4"/>
      <c r="TW43" s="4"/>
    </row>
    <row r="44" spans="1:543">
      <c r="A44">
        <v>4758</v>
      </c>
      <c r="B44">
        <v>9960</v>
      </c>
      <c r="C44">
        <v>6040902025</v>
      </c>
      <c r="D44" t="s">
        <v>267</v>
      </c>
      <c r="E44" t="s">
        <v>268</v>
      </c>
      <c r="F44" t="s">
        <v>269</v>
      </c>
      <c r="G44" s="2">
        <v>24214</v>
      </c>
      <c r="H44" t="s">
        <v>43</v>
      </c>
      <c r="I44" t="s">
        <v>124</v>
      </c>
      <c r="J44" t="s">
        <v>61</v>
      </c>
      <c r="K44" t="s">
        <v>270</v>
      </c>
      <c r="L44" t="s">
        <v>77</v>
      </c>
      <c r="M44" s="2">
        <v>25354</v>
      </c>
      <c r="N44" t="s">
        <v>271</v>
      </c>
      <c r="O44" s="2">
        <f>DATE(YEAR(G44) + P44, MONTH(G44), DAY(G44))</f>
        <v>49782</v>
      </c>
      <c r="P44">
        <v>70</v>
      </c>
      <c r="Q44" s="2"/>
      <c r="R44" t="s">
        <v>47</v>
      </c>
      <c r="S44" t="s">
        <v>64</v>
      </c>
      <c r="T44" s="2">
        <v>40445</v>
      </c>
      <c r="U44" t="s">
        <v>65</v>
      </c>
      <c r="V44" t="s">
        <v>56</v>
      </c>
      <c r="W44">
        <v>3</v>
      </c>
      <c r="X44" s="1">
        <v>58223</v>
      </c>
      <c r="Y44" s="1">
        <v>11644.6</v>
      </c>
      <c r="Z44" s="1">
        <v>46578.400000000001</v>
      </c>
      <c r="AA44" s="3">
        <v>774</v>
      </c>
      <c r="AK44" s="3"/>
      <c r="AM44" s="4"/>
      <c r="AO44" s="4"/>
      <c r="BA44" s="2"/>
      <c r="BB44" s="2"/>
      <c r="BD44" s="4"/>
      <c r="BF44" s="4"/>
      <c r="BM44" s="2"/>
      <c r="BO44" s="4"/>
      <c r="BQ44" s="4"/>
      <c r="CF44" s="3"/>
      <c r="CI44" s="2"/>
      <c r="CJ44" s="2"/>
      <c r="CN44" s="2"/>
      <c r="CQ44" s="2"/>
      <c r="CV44" s="4"/>
      <c r="CX44" s="4"/>
      <c r="DB44" s="2"/>
      <c r="DC44" s="2"/>
      <c r="DE44" s="2"/>
      <c r="DF44" s="2"/>
      <c r="DV44" s="2"/>
      <c r="DW44" s="2"/>
      <c r="EF44" s="4"/>
      <c r="EH44" s="4"/>
      <c r="ER44" s="2"/>
      <c r="ES44" s="2"/>
      <c r="EX44" s="4"/>
      <c r="EZ44" s="4"/>
      <c r="FQ44" s="4"/>
      <c r="FS44" s="4"/>
      <c r="GE44" s="2"/>
      <c r="GJ44" s="4"/>
      <c r="GL44" s="4"/>
      <c r="GR44" s="2"/>
      <c r="GV44" s="2"/>
      <c r="GX44" s="3"/>
      <c r="GY44" s="3"/>
      <c r="HP44" s="2"/>
      <c r="HS44" s="4"/>
      <c r="HU44" s="4"/>
      <c r="II44" s="4"/>
      <c r="IK44" s="4"/>
      <c r="IS44" s="2"/>
      <c r="IT44" s="2"/>
      <c r="IV44" s="2"/>
      <c r="IY44" s="4"/>
      <c r="JH44" s="2"/>
      <c r="JK44" s="4"/>
      <c r="JM44" s="4"/>
      <c r="JZ44" s="2"/>
      <c r="KD44" s="4"/>
      <c r="KF44" s="4"/>
      <c r="KJ44" s="4"/>
      <c r="KT44" s="2"/>
      <c r="KU44" s="2"/>
      <c r="KW44" s="2"/>
      <c r="LC44" s="2"/>
      <c r="LF44" s="2"/>
      <c r="LK44" s="2"/>
      <c r="LT44" s="4"/>
      <c r="LV44" s="4"/>
      <c r="NB44" s="2"/>
      <c r="NC44" s="2"/>
      <c r="NJ44" s="2"/>
      <c r="NN44" s="2"/>
      <c r="NO44" s="2"/>
      <c r="NT44" s="4"/>
      <c r="NV44" s="4"/>
      <c r="OA44" s="2"/>
      <c r="OB44" s="2"/>
      <c r="ON44" s="2"/>
      <c r="OR44" s="4"/>
      <c r="OT44" s="4"/>
      <c r="PD44" s="2"/>
      <c r="PH44" s="2"/>
      <c r="PQ44" s="2"/>
      <c r="PX44" s="2"/>
      <c r="PZ44" s="2"/>
      <c r="QF44" s="4"/>
      <c r="QH44" s="4"/>
      <c r="QZ44" s="2"/>
      <c r="RA44" s="2"/>
      <c r="RN44" s="4"/>
      <c r="RO44" s="4"/>
      <c r="RR44" s="2"/>
      <c r="RT44" s="2"/>
      <c r="RU44" s="2"/>
      <c r="SA44" s="4"/>
      <c r="SC44" s="4"/>
      <c r="SN44" s="2"/>
      <c r="SQ44" s="4"/>
      <c r="SS44" s="4"/>
      <c r="TG44" s="2"/>
      <c r="TH44" s="2"/>
      <c r="TI44" s="2"/>
      <c r="TU44" s="4"/>
      <c r="TW44" s="4"/>
    </row>
    <row r="45" spans="1:543">
      <c r="A45">
        <v>1413</v>
      </c>
      <c r="B45">
        <v>7121</v>
      </c>
      <c r="C45">
        <v>8505036333</v>
      </c>
      <c r="D45" t="s">
        <v>272</v>
      </c>
      <c r="E45" t="s">
        <v>273</v>
      </c>
      <c r="F45" t="s">
        <v>274</v>
      </c>
      <c r="G45" s="2">
        <v>40466</v>
      </c>
      <c r="H45" t="s">
        <v>43</v>
      </c>
      <c r="I45" t="s">
        <v>130</v>
      </c>
      <c r="J45" t="s">
        <v>61</v>
      </c>
      <c r="K45" t="s">
        <v>275</v>
      </c>
      <c r="L45" t="s">
        <v>77</v>
      </c>
      <c r="M45" s="2">
        <v>39029</v>
      </c>
      <c r="N45" t="s">
        <v>276</v>
      </c>
      <c r="O45" s="2">
        <f>DATE(YEAR(G45) + P45, MONTH(G45), DAY(G45))</f>
        <v>64207</v>
      </c>
      <c r="P45">
        <v>65</v>
      </c>
      <c r="Q45" s="2"/>
      <c r="R45" t="s">
        <v>47</v>
      </c>
      <c r="S45" t="s">
        <v>181</v>
      </c>
      <c r="T45" s="2">
        <v>23193</v>
      </c>
      <c r="U45" t="s">
        <v>38</v>
      </c>
      <c r="V45" t="s">
        <v>38</v>
      </c>
      <c r="W45">
        <v>7</v>
      </c>
      <c r="X45" s="1">
        <v>57648</v>
      </c>
      <c r="Y45" s="1">
        <v>11529.6</v>
      </c>
      <c r="Z45" s="1">
        <v>46118.400000000001</v>
      </c>
      <c r="AA45" s="3">
        <v>621</v>
      </c>
      <c r="AK45" s="3"/>
      <c r="AM45" s="4"/>
      <c r="AO45" s="4"/>
      <c r="BA45" s="2"/>
      <c r="BB45" s="2"/>
      <c r="BD45" s="4"/>
      <c r="BF45" s="4"/>
      <c r="BM45" s="2"/>
      <c r="BQ45" s="4"/>
      <c r="CI45" s="2"/>
      <c r="CJ45" s="2"/>
      <c r="CN45" s="2"/>
      <c r="CQ45" s="2"/>
      <c r="CV45" s="4"/>
      <c r="CX45" s="4"/>
      <c r="DB45" s="2"/>
      <c r="DE45" s="2"/>
      <c r="DV45" s="2"/>
      <c r="DW45" s="2"/>
      <c r="DX45" s="3"/>
      <c r="EF45" s="4"/>
      <c r="EH45" s="4"/>
      <c r="ER45" s="2"/>
      <c r="ES45" s="2"/>
      <c r="EV45" s="3"/>
      <c r="EX45" s="4"/>
      <c r="EZ45" s="4"/>
      <c r="FQ45" s="4"/>
      <c r="FS45" s="4"/>
      <c r="GJ45" s="4"/>
      <c r="GL45" s="4"/>
      <c r="GR45" s="2"/>
      <c r="GS45" s="3"/>
      <c r="GU45" s="3"/>
      <c r="GV45" s="2"/>
      <c r="GW45" s="3"/>
      <c r="HB45" s="3"/>
      <c r="HP45" s="2"/>
      <c r="HS45" s="4"/>
      <c r="HU45" s="4"/>
      <c r="II45" s="4"/>
      <c r="IK45" s="4"/>
      <c r="IS45" s="2"/>
      <c r="IT45" s="2"/>
      <c r="IV45" s="2"/>
      <c r="IW45" s="4"/>
      <c r="IY45" s="4"/>
      <c r="JH45" s="2"/>
      <c r="JK45" s="4"/>
      <c r="JM45" s="4"/>
      <c r="JZ45" s="2"/>
      <c r="KD45" s="4"/>
      <c r="KF45" s="4"/>
      <c r="KJ45" s="4"/>
      <c r="KT45" s="2"/>
      <c r="KW45" s="2"/>
      <c r="LK45" s="2"/>
      <c r="LT45" s="4"/>
      <c r="LV45" s="4"/>
      <c r="LZ45" s="3"/>
      <c r="NC45" s="2"/>
      <c r="NG45" s="5"/>
      <c r="NJ45" s="2"/>
      <c r="NN45" s="2"/>
      <c r="NO45" s="2"/>
      <c r="NV45" s="4"/>
      <c r="OB45" s="2"/>
      <c r="OK45" s="3"/>
      <c r="ON45" s="2"/>
      <c r="OR45" s="4"/>
      <c r="OT45" s="4"/>
      <c r="PD45" s="2"/>
      <c r="PH45" s="2"/>
      <c r="PQ45" s="2"/>
      <c r="PX45" s="2"/>
      <c r="PZ45" s="2"/>
      <c r="QF45" s="4"/>
      <c r="QZ45" s="2"/>
      <c r="RA45" s="2"/>
      <c r="RN45" s="4"/>
      <c r="RO45" s="4"/>
      <c r="RT45" s="2"/>
      <c r="RU45" s="2"/>
      <c r="SA45" s="4"/>
      <c r="SM45" s="3"/>
      <c r="SN45" s="2"/>
      <c r="SQ45" s="4"/>
      <c r="SS45" s="4"/>
      <c r="TG45" s="2"/>
      <c r="TH45" s="2"/>
      <c r="TI45" s="2"/>
      <c r="TU45" s="4"/>
      <c r="TW45" s="4"/>
    </row>
    <row r="46" spans="1:543">
      <c r="A46">
        <v>3241</v>
      </c>
      <c r="B46">
        <v>7167</v>
      </c>
      <c r="C46">
        <v>3190186274</v>
      </c>
      <c r="D46" t="s">
        <v>208</v>
      </c>
      <c r="E46" t="s">
        <v>277</v>
      </c>
      <c r="F46" t="s">
        <v>278</v>
      </c>
      <c r="G46" s="2">
        <v>31290</v>
      </c>
      <c r="H46" t="s">
        <v>43</v>
      </c>
      <c r="I46" t="s">
        <v>279</v>
      </c>
      <c r="J46" t="s">
        <v>61</v>
      </c>
      <c r="K46" t="s">
        <v>280</v>
      </c>
      <c r="L46" t="s">
        <v>34</v>
      </c>
      <c r="M46" s="2">
        <v>30293</v>
      </c>
      <c r="N46" t="s">
        <v>281</v>
      </c>
      <c r="O46" s="2">
        <f>DATE(YEAR(G46) + P46, MONTH(G46), DAY(G46))</f>
        <v>54301</v>
      </c>
      <c r="P46">
        <v>63</v>
      </c>
      <c r="Q46" s="2"/>
      <c r="R46" t="s">
        <v>47</v>
      </c>
      <c r="S46" t="s">
        <v>48</v>
      </c>
      <c r="T46" s="2">
        <v>44334</v>
      </c>
      <c r="U46" t="s">
        <v>133</v>
      </c>
      <c r="V46" t="s">
        <v>38</v>
      </c>
      <c r="W46">
        <v>4</v>
      </c>
      <c r="X46" s="1">
        <v>48917</v>
      </c>
      <c r="Y46" s="1">
        <v>9783.4</v>
      </c>
      <c r="Z46" s="1">
        <v>39133.599999999999</v>
      </c>
      <c r="AA46" s="3">
        <v>539</v>
      </c>
      <c r="AK46" s="3"/>
      <c r="AM46" s="4"/>
      <c r="AO46" s="4"/>
      <c r="BA46" s="2"/>
      <c r="BB46" s="2"/>
      <c r="BD46" s="4"/>
      <c r="BF46" s="4"/>
      <c r="BM46" s="2"/>
      <c r="BO46" s="4"/>
      <c r="BQ46" s="4"/>
      <c r="CF46" s="3"/>
      <c r="CI46" s="2"/>
      <c r="CJ46" s="2"/>
      <c r="CN46" s="2"/>
      <c r="CQ46" s="2"/>
      <c r="CX46" s="4"/>
      <c r="DA46" s="3"/>
      <c r="DB46" s="2"/>
      <c r="DD46" s="3"/>
      <c r="DE46" s="2"/>
      <c r="DF46" s="2"/>
      <c r="DV46" s="2"/>
      <c r="EF46" s="4"/>
      <c r="EH46" s="4"/>
      <c r="ER46" s="2"/>
      <c r="ES46" s="2"/>
      <c r="EZ46" s="4"/>
      <c r="FQ46" s="4"/>
      <c r="FS46" s="4"/>
      <c r="GE46" s="2"/>
      <c r="GG46" s="3"/>
      <c r="GJ46" s="4"/>
      <c r="GL46" s="4"/>
      <c r="GV46" s="2"/>
      <c r="GW46" s="3"/>
      <c r="GX46" s="3"/>
      <c r="GY46" s="3"/>
      <c r="HB46" s="3"/>
      <c r="HP46" s="2"/>
      <c r="HS46" s="4"/>
      <c r="II46" s="4"/>
      <c r="IK46" s="4"/>
      <c r="IS46" s="2"/>
      <c r="IT46" s="2"/>
      <c r="IV46" s="2"/>
      <c r="IW46" s="4"/>
      <c r="IY46" s="4"/>
      <c r="JK46" s="4"/>
      <c r="JM46" s="4"/>
      <c r="JZ46" s="2"/>
      <c r="KF46" s="4"/>
      <c r="KJ46" s="4"/>
      <c r="KU46" s="2"/>
      <c r="KW46" s="2"/>
      <c r="LC46" s="2"/>
      <c r="LF46" s="2"/>
      <c r="LK46" s="2"/>
      <c r="LM46" s="3"/>
      <c r="LT46" s="4"/>
      <c r="LV46" s="4"/>
      <c r="MA46" s="3"/>
      <c r="ML46" s="3"/>
      <c r="NB46" s="2"/>
      <c r="NC46" s="2"/>
      <c r="NJ46" s="2"/>
      <c r="NN46" s="2"/>
      <c r="NT46" s="4"/>
      <c r="NV46" s="4"/>
      <c r="OA46" s="2"/>
      <c r="OB46" s="2"/>
      <c r="ON46" s="2"/>
      <c r="OR46" s="4"/>
      <c r="PD46" s="2"/>
      <c r="PH46" s="2"/>
      <c r="PN46" s="3"/>
      <c r="PQ46" s="2"/>
      <c r="PX46" s="2"/>
      <c r="PZ46" s="2"/>
      <c r="QF46" s="4"/>
      <c r="QH46" s="4"/>
      <c r="QZ46" s="2"/>
      <c r="RA46" s="2"/>
      <c r="RN46" s="4"/>
      <c r="RO46" s="4"/>
      <c r="RR46" s="2"/>
      <c r="RT46" s="2"/>
      <c r="RU46" s="2"/>
      <c r="SA46" s="4"/>
      <c r="SN46" s="2"/>
      <c r="SQ46" s="4"/>
      <c r="SS46" s="4"/>
      <c r="TG46" s="2"/>
      <c r="TH46" s="2"/>
      <c r="TI46" s="2"/>
      <c r="TU46" s="4"/>
      <c r="TW46" s="4"/>
    </row>
    <row r="47" spans="1:543">
      <c r="A47">
        <v>4650</v>
      </c>
      <c r="B47">
        <v>4677</v>
      </c>
      <c r="C47">
        <v>4939813771</v>
      </c>
      <c r="D47" t="s">
        <v>282</v>
      </c>
      <c r="E47" t="s">
        <v>283</v>
      </c>
      <c r="F47" t="s">
        <v>284</v>
      </c>
      <c r="G47" s="2">
        <v>36592</v>
      </c>
      <c r="H47" t="s">
        <v>30</v>
      </c>
      <c r="I47" t="s">
        <v>143</v>
      </c>
      <c r="J47" t="s">
        <v>32</v>
      </c>
      <c r="K47" t="s">
        <v>285</v>
      </c>
      <c r="L47" t="s">
        <v>95</v>
      </c>
      <c r="M47" s="2"/>
      <c r="N47" t="s">
        <v>286</v>
      </c>
      <c r="O47" s="2">
        <f>DATE(YEAR(G47) + P47, MONTH(G47), DAY(G47))</f>
        <v>58507</v>
      </c>
      <c r="P47">
        <v>60</v>
      </c>
      <c r="Q47" s="2"/>
      <c r="R47" t="s">
        <v>47</v>
      </c>
      <c r="S47" t="s">
        <v>64</v>
      </c>
      <c r="T47" s="2">
        <v>30292</v>
      </c>
      <c r="U47" t="s">
        <v>65</v>
      </c>
      <c r="V47" t="s">
        <v>66</v>
      </c>
      <c r="W47">
        <v>3</v>
      </c>
      <c r="X47" s="1">
        <v>47373</v>
      </c>
      <c r="Y47" s="1">
        <v>9474.6</v>
      </c>
      <c r="Z47" s="1">
        <v>37898.400000000001</v>
      </c>
      <c r="AA47" s="3">
        <v>46</v>
      </c>
      <c r="AK47" s="3"/>
      <c r="AM47" s="4"/>
      <c r="AO47" s="4"/>
      <c r="BA47" s="2"/>
      <c r="BB47" s="2"/>
      <c r="BD47" s="4"/>
      <c r="BF47" s="4"/>
      <c r="BM47" s="2"/>
      <c r="BO47" s="4"/>
      <c r="BQ47" s="4"/>
      <c r="CI47" s="2"/>
      <c r="CJ47" s="2"/>
      <c r="CN47" s="2"/>
      <c r="CQ47" s="2"/>
      <c r="CV47" s="4"/>
      <c r="CX47" s="4"/>
      <c r="CZ47" s="3"/>
      <c r="DB47" s="2"/>
      <c r="DC47" s="2"/>
      <c r="DD47" s="3"/>
      <c r="DE47" s="2"/>
      <c r="DF47" s="2"/>
      <c r="DV47" s="2"/>
      <c r="DW47" s="2"/>
      <c r="DY47" s="3"/>
      <c r="EC47" s="3"/>
      <c r="EF47" s="4"/>
      <c r="EH47" s="4"/>
      <c r="ES47" s="2"/>
      <c r="EX47" s="4"/>
      <c r="EZ47" s="4"/>
      <c r="FQ47" s="4"/>
      <c r="FS47" s="4"/>
      <c r="GE47" s="2"/>
      <c r="GJ47" s="4"/>
      <c r="GL47" s="4"/>
      <c r="GR47" s="2"/>
      <c r="GT47" s="3"/>
      <c r="GU47" s="3"/>
      <c r="GV47" s="2"/>
      <c r="GX47" s="3"/>
      <c r="GY47" s="3"/>
      <c r="HB47" s="3"/>
      <c r="HP47" s="2"/>
      <c r="HS47" s="4"/>
      <c r="HU47" s="4"/>
      <c r="II47" s="4"/>
      <c r="IK47" s="4"/>
      <c r="IT47" s="2"/>
      <c r="IV47" s="2"/>
      <c r="IW47" s="4"/>
      <c r="IY47" s="4"/>
      <c r="JH47" s="2"/>
      <c r="JK47" s="4"/>
      <c r="JM47" s="4"/>
      <c r="JZ47" s="2"/>
      <c r="KD47" s="4"/>
      <c r="KJ47" s="4"/>
      <c r="KU47" s="2"/>
      <c r="KW47" s="2"/>
      <c r="LC47" s="2"/>
      <c r="LF47" s="2"/>
      <c r="LH47" s="3"/>
      <c r="LK47" s="2"/>
      <c r="LT47" s="4"/>
      <c r="LV47" s="4"/>
      <c r="ME47" s="3"/>
      <c r="NB47" s="2"/>
      <c r="NC47" s="2"/>
      <c r="NG47" s="5"/>
      <c r="NJ47" s="2"/>
      <c r="NN47" s="2"/>
      <c r="NO47" s="2"/>
      <c r="NT47" s="4"/>
      <c r="NV47" s="4"/>
      <c r="OA47" s="2"/>
      <c r="OB47" s="2"/>
      <c r="OK47" s="3"/>
      <c r="ON47" s="2"/>
      <c r="OR47" s="4"/>
      <c r="OT47" s="4"/>
      <c r="PD47" s="2"/>
      <c r="PH47" s="2"/>
      <c r="PX47" s="2"/>
      <c r="PZ47" s="2"/>
      <c r="QF47" s="4"/>
      <c r="QH47" s="4"/>
      <c r="QJ47" s="3"/>
      <c r="QZ47" s="2"/>
      <c r="RA47" s="2"/>
      <c r="RN47" s="4"/>
      <c r="RO47" s="4"/>
      <c r="RR47" s="2"/>
      <c r="RT47" s="2"/>
      <c r="RU47" s="2"/>
      <c r="SC47" s="4"/>
      <c r="SN47" s="2"/>
      <c r="SQ47" s="4"/>
      <c r="SS47" s="4"/>
      <c r="TG47" s="2"/>
      <c r="TH47" s="2"/>
      <c r="TI47" s="2"/>
      <c r="TO47" s="3"/>
      <c r="TU47" s="4"/>
      <c r="TW47" s="4"/>
    </row>
    <row r="48" spans="1:543">
      <c r="A48">
        <v>5939</v>
      </c>
      <c r="B48">
        <v>9913</v>
      </c>
      <c r="C48">
        <v>6195642508</v>
      </c>
      <c r="D48" t="s">
        <v>287</v>
      </c>
      <c r="E48" t="s">
        <v>288</v>
      </c>
      <c r="F48" t="s">
        <v>289</v>
      </c>
      <c r="G48" s="2">
        <v>40457</v>
      </c>
      <c r="H48" t="s">
        <v>30</v>
      </c>
      <c r="I48" t="s">
        <v>75</v>
      </c>
      <c r="J48" t="s">
        <v>32</v>
      </c>
      <c r="K48" t="s">
        <v>290</v>
      </c>
      <c r="L48" t="s">
        <v>77</v>
      </c>
      <c r="M48" s="2"/>
      <c r="N48" t="s">
        <v>291</v>
      </c>
      <c r="O48" s="2">
        <f>DATE(YEAR(G48) + P48, MONTH(G48), DAY(G48))</f>
        <v>63833</v>
      </c>
      <c r="P48">
        <v>64</v>
      </c>
      <c r="Q48" s="2"/>
      <c r="R48" t="s">
        <v>47</v>
      </c>
      <c r="S48" t="s">
        <v>37</v>
      </c>
      <c r="T48" s="2">
        <v>41424</v>
      </c>
      <c r="U48" t="s">
        <v>49</v>
      </c>
      <c r="V48" t="s">
        <v>39</v>
      </c>
      <c r="W48">
        <v>23</v>
      </c>
      <c r="X48" s="1">
        <v>12327</v>
      </c>
      <c r="Y48" s="1">
        <v>2465.4</v>
      </c>
      <c r="Z48" s="1">
        <v>9861.6</v>
      </c>
      <c r="AA48" s="3">
        <v>705</v>
      </c>
      <c r="AK48" s="3"/>
      <c r="AM48" s="4"/>
      <c r="AO48" s="4"/>
      <c r="BA48" s="2"/>
      <c r="BB48" s="2"/>
      <c r="BD48" s="4"/>
      <c r="BF48" s="4"/>
      <c r="BM48" s="2"/>
      <c r="BO48" s="4"/>
      <c r="BQ48" s="4"/>
      <c r="CI48" s="2"/>
      <c r="CJ48" s="2"/>
      <c r="CN48" s="2"/>
      <c r="CQ48" s="2"/>
      <c r="CV48" s="4"/>
      <c r="CX48" s="4"/>
      <c r="DC48" s="2"/>
      <c r="DE48" s="2"/>
      <c r="DV48" s="2"/>
      <c r="DW48" s="2"/>
      <c r="DX48" s="3"/>
      <c r="EF48" s="4"/>
      <c r="EH48" s="4"/>
      <c r="ER48" s="2"/>
      <c r="EX48" s="4"/>
      <c r="EZ48" s="4"/>
      <c r="FQ48" s="4"/>
      <c r="FS48" s="4"/>
      <c r="GJ48" s="4"/>
      <c r="GR48" s="2"/>
      <c r="GU48" s="3"/>
      <c r="GV48" s="2"/>
      <c r="GW48" s="3"/>
      <c r="GX48" s="3"/>
      <c r="GY48" s="3"/>
      <c r="HO48" s="3"/>
      <c r="HP48" s="2"/>
      <c r="HS48" s="4"/>
      <c r="HU48" s="4"/>
      <c r="II48" s="4"/>
      <c r="IK48" s="4"/>
      <c r="IS48" s="2"/>
      <c r="IT48" s="2"/>
      <c r="IV48" s="2"/>
      <c r="IW48" s="4"/>
      <c r="IY48" s="4"/>
      <c r="JH48" s="2"/>
      <c r="JK48" s="4"/>
      <c r="JM48" s="4"/>
      <c r="JZ48" s="2"/>
      <c r="KD48" s="4"/>
      <c r="KF48" s="4"/>
      <c r="KI48" s="3"/>
      <c r="KT48" s="2"/>
      <c r="KU48" s="2"/>
      <c r="KW48" s="2"/>
      <c r="LC48" s="2"/>
      <c r="LF48" s="2"/>
      <c r="LK48" s="2"/>
      <c r="LT48" s="4"/>
      <c r="LV48" s="4"/>
      <c r="NB48" s="2"/>
      <c r="NC48" s="2"/>
      <c r="NJ48" s="2"/>
      <c r="NN48" s="2"/>
      <c r="NO48" s="2"/>
      <c r="NV48" s="4"/>
      <c r="OA48" s="2"/>
      <c r="OB48" s="2"/>
      <c r="ON48" s="2"/>
      <c r="OR48" s="4"/>
      <c r="PD48" s="2"/>
      <c r="PH48" s="2"/>
      <c r="PN48" s="3"/>
      <c r="PQ48" s="2"/>
      <c r="PX48" s="2"/>
      <c r="PZ48" s="2"/>
      <c r="QH48" s="4"/>
      <c r="QZ48" s="2"/>
      <c r="RA48" s="2"/>
      <c r="RN48" s="4"/>
      <c r="RO48" s="4"/>
      <c r="RR48" s="2"/>
      <c r="RT48" s="2"/>
      <c r="RU48" s="2"/>
      <c r="SN48" s="2"/>
      <c r="SQ48" s="4"/>
      <c r="SS48" s="4"/>
      <c r="TG48" s="2"/>
      <c r="TI48" s="2"/>
      <c r="TN48" s="3"/>
      <c r="TU48" s="4"/>
      <c r="TW48" s="4"/>
    </row>
    <row r="49" spans="1:543">
      <c r="A49">
        <v>1742</v>
      </c>
      <c r="B49">
        <v>2735</v>
      </c>
      <c r="C49">
        <v>2595364245</v>
      </c>
      <c r="D49" t="s">
        <v>172</v>
      </c>
      <c r="E49" t="s">
        <v>173</v>
      </c>
      <c r="F49" t="s">
        <v>174</v>
      </c>
      <c r="G49" s="2">
        <v>27304</v>
      </c>
      <c r="H49" t="s">
        <v>30</v>
      </c>
      <c r="I49" t="s">
        <v>70</v>
      </c>
      <c r="J49" t="s">
        <v>32</v>
      </c>
      <c r="K49" t="s">
        <v>292</v>
      </c>
      <c r="L49" t="s">
        <v>95</v>
      </c>
      <c r="M49" s="2"/>
      <c r="N49" t="s">
        <v>293</v>
      </c>
      <c r="O49" s="2">
        <f>DATE(YEAR(G49) + P49, MONTH(G49), DAY(G49))</f>
        <v>52141</v>
      </c>
      <c r="P49">
        <v>68</v>
      </c>
      <c r="Q49" s="2"/>
      <c r="R49" t="s">
        <v>47</v>
      </c>
      <c r="S49" t="s">
        <v>37</v>
      </c>
      <c r="T49" s="2">
        <v>28625</v>
      </c>
      <c r="U49" t="s">
        <v>65</v>
      </c>
      <c r="V49" t="s">
        <v>66</v>
      </c>
      <c r="W49">
        <v>13</v>
      </c>
      <c r="X49" s="1">
        <v>77396</v>
      </c>
      <c r="Y49" s="1">
        <v>15479.2</v>
      </c>
      <c r="Z49" s="1">
        <v>61916.800000000003</v>
      </c>
      <c r="AA49" s="3">
        <v>442</v>
      </c>
      <c r="AK49" s="3"/>
      <c r="AM49" s="4"/>
      <c r="AO49" s="4"/>
      <c r="BA49" s="2"/>
      <c r="BB49" s="2"/>
      <c r="BD49" s="4"/>
      <c r="BF49" s="4"/>
      <c r="BM49" s="2"/>
      <c r="BQ49" s="4"/>
      <c r="CJ49" s="2"/>
      <c r="CN49" s="2"/>
      <c r="CQ49" s="2"/>
      <c r="CV49" s="4"/>
      <c r="CX49" s="4"/>
      <c r="DB49" s="2"/>
      <c r="DC49" s="2"/>
      <c r="DD49" s="3"/>
      <c r="DE49" s="2"/>
      <c r="DF49" s="2"/>
      <c r="DV49" s="2"/>
      <c r="DW49" s="2"/>
      <c r="EF49" s="4"/>
      <c r="EH49" s="4"/>
      <c r="ER49" s="2"/>
      <c r="EX49" s="4"/>
      <c r="EZ49" s="4"/>
      <c r="FQ49" s="4"/>
      <c r="FS49" s="4"/>
      <c r="GE49" s="2"/>
      <c r="GJ49" s="4"/>
      <c r="GL49" s="4"/>
      <c r="GR49" s="2"/>
      <c r="GU49" s="3"/>
      <c r="GV49" s="2"/>
      <c r="HB49" s="3"/>
      <c r="HP49" s="2"/>
      <c r="HS49" s="4"/>
      <c r="HU49" s="4"/>
      <c r="II49" s="4"/>
      <c r="IK49" s="4"/>
      <c r="IS49" s="2"/>
      <c r="IV49" s="2"/>
      <c r="IW49" s="4"/>
      <c r="IY49" s="4"/>
      <c r="JH49" s="2"/>
      <c r="JK49" s="4"/>
      <c r="JM49" s="4"/>
      <c r="JZ49" s="2"/>
      <c r="KD49" s="4"/>
      <c r="KF49" s="4"/>
      <c r="KJ49" s="4"/>
      <c r="KT49" s="2"/>
      <c r="KU49" s="2"/>
      <c r="LC49" s="2"/>
      <c r="LF49" s="2"/>
      <c r="LK49" s="2"/>
      <c r="LT49" s="4"/>
      <c r="LV49" s="4"/>
      <c r="NB49" s="2"/>
      <c r="NC49" s="2"/>
      <c r="NJ49" s="2"/>
      <c r="NN49" s="2"/>
      <c r="NT49" s="4"/>
      <c r="OA49" s="2"/>
      <c r="OB49" s="2"/>
      <c r="ON49" s="2"/>
      <c r="OR49" s="4"/>
      <c r="OT49" s="4"/>
      <c r="PD49" s="2"/>
      <c r="PH49" s="2"/>
      <c r="PI49" s="3"/>
      <c r="PQ49" s="2"/>
      <c r="PX49" s="2"/>
      <c r="PY49" s="3"/>
      <c r="QH49" s="4"/>
      <c r="QZ49" s="2"/>
      <c r="RA49" s="2"/>
      <c r="RN49" s="4"/>
      <c r="RO49" s="4"/>
      <c r="RR49" s="2"/>
      <c r="RT49" s="2"/>
      <c r="SA49" s="4"/>
      <c r="SC49" s="4"/>
      <c r="SN49" s="2"/>
      <c r="SQ49" s="4"/>
      <c r="SS49" s="4"/>
      <c r="TG49" s="2"/>
      <c r="TH49" s="2"/>
      <c r="TI49" s="2"/>
      <c r="TU49" s="4"/>
      <c r="TW49" s="4"/>
    </row>
    <row r="50" spans="1:543">
      <c r="A50">
        <v>9752</v>
      </c>
      <c r="B50">
        <v>9127</v>
      </c>
      <c r="C50">
        <v>1328492197</v>
      </c>
      <c r="D50" t="s">
        <v>213</v>
      </c>
      <c r="E50" t="s">
        <v>294</v>
      </c>
      <c r="F50" t="s">
        <v>295</v>
      </c>
      <c r="G50" s="2">
        <v>24895</v>
      </c>
      <c r="H50" t="s">
        <v>30</v>
      </c>
      <c r="I50" t="s">
        <v>279</v>
      </c>
      <c r="J50" t="s">
        <v>32</v>
      </c>
      <c r="K50" t="s">
        <v>296</v>
      </c>
      <c r="L50" t="s">
        <v>34</v>
      </c>
      <c r="M50" s="2"/>
      <c r="N50" t="s">
        <v>297</v>
      </c>
      <c r="O50" s="2">
        <f>DATE(YEAR(G50) + P50, MONTH(G50), DAY(G50))</f>
        <v>49732</v>
      </c>
      <c r="P50">
        <v>68</v>
      </c>
      <c r="Q50" s="2"/>
      <c r="R50" t="s">
        <v>47</v>
      </c>
      <c r="S50" t="s">
        <v>181</v>
      </c>
      <c r="T50" s="2">
        <v>23041</v>
      </c>
      <c r="U50" t="s">
        <v>103</v>
      </c>
      <c r="V50" t="s">
        <v>38</v>
      </c>
      <c r="W50">
        <v>12</v>
      </c>
      <c r="X50" s="1">
        <v>35483</v>
      </c>
      <c r="Y50" s="1">
        <v>7096.6</v>
      </c>
      <c r="Z50" s="1">
        <v>28386.400000000001</v>
      </c>
      <c r="AA50" s="3">
        <v>813</v>
      </c>
      <c r="AK50" s="3"/>
      <c r="AM50" s="4"/>
      <c r="AO50" s="4"/>
      <c r="BA50" s="2"/>
      <c r="BB50" s="2"/>
      <c r="BD50" s="4"/>
      <c r="BM50" s="2"/>
      <c r="BO50" s="4"/>
      <c r="BQ50" s="4"/>
      <c r="CI50" s="2"/>
      <c r="CJ50" s="2"/>
      <c r="CN50" s="2"/>
      <c r="CQ50" s="2"/>
      <c r="CV50" s="4"/>
      <c r="CX50" s="4"/>
      <c r="DB50" s="2"/>
      <c r="DC50" s="2"/>
      <c r="DE50" s="2"/>
      <c r="DF50" s="2"/>
      <c r="DV50" s="2"/>
      <c r="DW50" s="2"/>
      <c r="EF50" s="4"/>
      <c r="EH50" s="4"/>
      <c r="ER50" s="2"/>
      <c r="ES50" s="2"/>
      <c r="EU50" s="3"/>
      <c r="EX50" s="4"/>
      <c r="EZ50" s="4"/>
      <c r="FQ50" s="4"/>
      <c r="FS50" s="4"/>
      <c r="GE50" s="2"/>
      <c r="GJ50" s="4"/>
      <c r="GL50" s="4"/>
      <c r="GR50" s="2"/>
      <c r="GS50" s="3"/>
      <c r="GT50" s="3"/>
      <c r="GU50" s="3"/>
      <c r="GV50" s="2"/>
      <c r="GW50" s="3"/>
      <c r="HB50" s="3"/>
      <c r="HO50" s="3"/>
      <c r="HP50" s="2"/>
      <c r="HQ50" s="3"/>
      <c r="HS50" s="4"/>
      <c r="HU50" s="4"/>
      <c r="II50" s="4"/>
      <c r="IS50" s="2"/>
      <c r="IV50" s="2"/>
      <c r="IW50" s="4"/>
      <c r="IY50" s="4"/>
      <c r="JH50" s="2"/>
      <c r="JK50" s="4"/>
      <c r="JM50" s="4"/>
      <c r="JZ50" s="2"/>
      <c r="KD50" s="4"/>
      <c r="KF50" s="4"/>
      <c r="KJ50" s="4"/>
      <c r="KT50" s="2"/>
      <c r="KW50" s="2"/>
      <c r="LC50" s="2"/>
      <c r="LF50" s="2"/>
      <c r="LK50" s="2"/>
      <c r="LT50" s="4"/>
      <c r="LV50" s="4"/>
      <c r="MA50" s="3"/>
      <c r="NB50" s="2"/>
      <c r="NG50" s="5"/>
      <c r="NJ50" s="2"/>
      <c r="NN50" s="2"/>
      <c r="NO50" s="2"/>
      <c r="NV50" s="4"/>
      <c r="OA50" s="2"/>
      <c r="OB50" s="2"/>
      <c r="ON50" s="2"/>
      <c r="OR50" s="4"/>
      <c r="OT50" s="4"/>
      <c r="PD50" s="2"/>
      <c r="PH50" s="2"/>
      <c r="PQ50" s="2"/>
      <c r="PX50" s="2"/>
      <c r="PZ50" s="2"/>
      <c r="QF50" s="4"/>
      <c r="QH50" s="4"/>
      <c r="QX50" s="3"/>
      <c r="QZ50" s="2"/>
      <c r="RN50" s="4"/>
      <c r="RO50" s="4"/>
      <c r="RR50" s="2"/>
      <c r="RT50" s="2"/>
      <c r="RU50" s="2"/>
      <c r="SA50" s="4"/>
      <c r="SC50" s="4"/>
      <c r="SN50" s="2"/>
      <c r="SQ50" s="4"/>
      <c r="SS50" s="4"/>
      <c r="TG50" s="2"/>
      <c r="TH50" s="2"/>
      <c r="TI50" s="2"/>
      <c r="TP50" s="3"/>
      <c r="TW50" s="4"/>
    </row>
    <row r="51" spans="1:543">
      <c r="A51">
        <v>1086</v>
      </c>
      <c r="B51">
        <v>4275</v>
      </c>
      <c r="C51">
        <v>6741461373</v>
      </c>
      <c r="D51" t="s">
        <v>84</v>
      </c>
      <c r="E51" t="s">
        <v>298</v>
      </c>
      <c r="F51" t="s">
        <v>299</v>
      </c>
      <c r="G51" s="2">
        <v>30658</v>
      </c>
      <c r="H51" t="s">
        <v>30</v>
      </c>
      <c r="I51" t="s">
        <v>60</v>
      </c>
      <c r="J51" t="s">
        <v>32</v>
      </c>
      <c r="K51" t="s">
        <v>300</v>
      </c>
      <c r="L51" t="s">
        <v>34</v>
      </c>
      <c r="M51" s="2"/>
      <c r="N51" t="s">
        <v>301</v>
      </c>
      <c r="O51" s="2">
        <f>DATE(YEAR(G51) + P51, MONTH(G51), DAY(G51))</f>
        <v>52939</v>
      </c>
      <c r="P51">
        <v>61</v>
      </c>
      <c r="Q51" s="2"/>
      <c r="R51" t="s">
        <v>47</v>
      </c>
      <c r="S51" t="s">
        <v>102</v>
      </c>
      <c r="T51" s="2">
        <v>39446</v>
      </c>
      <c r="U51" t="s">
        <v>49</v>
      </c>
      <c r="V51" t="s">
        <v>38</v>
      </c>
      <c r="W51">
        <v>24</v>
      </c>
      <c r="X51" s="1">
        <v>78213</v>
      </c>
      <c r="Y51" s="1">
        <v>15642.6</v>
      </c>
      <c r="Z51" s="1">
        <v>62570.400000000001</v>
      </c>
      <c r="AA51" s="3">
        <v>278</v>
      </c>
      <c r="AJ51" s="3"/>
      <c r="AK51" s="3"/>
      <c r="AM51" s="4"/>
      <c r="AO51" s="4"/>
      <c r="BA51" s="2"/>
      <c r="BD51" s="4"/>
      <c r="BM51" s="2"/>
      <c r="BO51" s="4"/>
      <c r="BQ51" s="4"/>
      <c r="CH51" s="3"/>
      <c r="CI51" s="2"/>
      <c r="CJ51" s="2"/>
      <c r="CL51" s="3"/>
      <c r="CN51" s="2"/>
      <c r="CQ51" s="2"/>
      <c r="CV51" s="4"/>
      <c r="CX51" s="4"/>
      <c r="CZ51" s="3"/>
      <c r="DB51" s="2"/>
      <c r="DC51" s="2"/>
      <c r="DE51" s="2"/>
      <c r="DF51" s="2"/>
      <c r="DV51" s="2"/>
      <c r="DW51" s="2"/>
      <c r="EF51" s="4"/>
      <c r="ES51" s="2"/>
      <c r="EX51" s="4"/>
      <c r="EZ51" s="4"/>
      <c r="FQ51" s="4"/>
      <c r="FS51" s="4"/>
      <c r="GE51" s="2"/>
      <c r="GJ51" s="4"/>
      <c r="GL51" s="4"/>
      <c r="GR51" s="2"/>
      <c r="GS51" s="3"/>
      <c r="GU51" s="3"/>
      <c r="GV51" s="2"/>
      <c r="GW51" s="3"/>
      <c r="GX51" s="3"/>
      <c r="HB51" s="3"/>
      <c r="HN51" s="3"/>
      <c r="HP51" s="2"/>
      <c r="HS51" s="4"/>
      <c r="HU51" s="4"/>
      <c r="IF51" s="3"/>
      <c r="II51" s="4"/>
      <c r="IK51" s="4"/>
      <c r="IS51" s="2"/>
      <c r="IT51" s="2"/>
      <c r="IV51" s="2"/>
      <c r="IW51" s="4"/>
      <c r="IY51" s="4"/>
      <c r="JK51" s="4"/>
      <c r="JM51" s="4"/>
      <c r="JZ51" s="2"/>
      <c r="KD51" s="4"/>
      <c r="KF51" s="4"/>
      <c r="KJ51" s="4"/>
      <c r="KT51" s="2"/>
      <c r="KU51" s="2"/>
      <c r="KW51" s="2"/>
      <c r="LC51" s="2"/>
      <c r="LF51" s="2"/>
      <c r="LH51" s="3"/>
      <c r="LK51" s="2"/>
      <c r="LT51" s="4"/>
      <c r="LV51" s="4"/>
      <c r="NJ51" s="2"/>
      <c r="NN51" s="2"/>
      <c r="NO51" s="2"/>
      <c r="NT51" s="4"/>
      <c r="NV51" s="4"/>
      <c r="OA51" s="2"/>
      <c r="OB51" s="2"/>
      <c r="OJ51" s="3"/>
      <c r="ON51" s="2"/>
      <c r="OR51" s="4"/>
      <c r="OT51" s="4"/>
      <c r="PD51" s="2"/>
      <c r="PQ51" s="2"/>
      <c r="PX51" s="2"/>
      <c r="PZ51" s="2"/>
      <c r="QF51" s="4"/>
      <c r="QH51" s="4"/>
      <c r="QZ51" s="2"/>
      <c r="RA51" s="2"/>
      <c r="RN51" s="4"/>
      <c r="RO51" s="4"/>
      <c r="RR51" s="2"/>
      <c r="RT51" s="2"/>
      <c r="RU51" s="2"/>
      <c r="SA51" s="4"/>
      <c r="SC51" s="4"/>
      <c r="SN51" s="2"/>
      <c r="SQ51" s="4"/>
      <c r="SS51" s="4"/>
      <c r="TG51" s="2"/>
      <c r="TH51" s="2"/>
      <c r="TI51" s="2"/>
      <c r="TN51" s="3"/>
      <c r="TU51" s="4"/>
      <c r="TW51" s="4"/>
    </row>
    <row r="52" spans="1:543">
      <c r="A52">
        <v>6310</v>
      </c>
      <c r="B52">
        <v>9363</v>
      </c>
      <c r="C52">
        <v>2731911692</v>
      </c>
      <c r="D52" t="s">
        <v>287</v>
      </c>
      <c r="E52" t="s">
        <v>302</v>
      </c>
      <c r="F52" t="s">
        <v>303</v>
      </c>
      <c r="G52" s="2">
        <v>29930</v>
      </c>
      <c r="H52" t="s">
        <v>30</v>
      </c>
      <c r="I52" t="s">
        <v>279</v>
      </c>
      <c r="J52" t="s">
        <v>32</v>
      </c>
      <c r="K52" t="s">
        <v>304</v>
      </c>
      <c r="L52" t="s">
        <v>95</v>
      </c>
      <c r="M52" s="2"/>
      <c r="N52" t="s">
        <v>305</v>
      </c>
      <c r="O52" s="2">
        <f>DATE(YEAR(G52) + P52, MONTH(G52), DAY(G52))</f>
        <v>53306</v>
      </c>
      <c r="P52">
        <v>64</v>
      </c>
      <c r="Q52" s="2"/>
      <c r="R52" t="s">
        <v>47</v>
      </c>
      <c r="S52" t="s">
        <v>102</v>
      </c>
      <c r="T52" t="s">
        <v>306</v>
      </c>
      <c r="U52" t="s">
        <v>133</v>
      </c>
      <c r="V52" t="s">
        <v>56</v>
      </c>
      <c r="W52">
        <v>1</v>
      </c>
      <c r="X52" s="1">
        <v>18618</v>
      </c>
      <c r="Y52" s="1">
        <v>3723.6000000000004</v>
      </c>
      <c r="Z52" s="1">
        <v>14894.4</v>
      </c>
      <c r="AA52" s="3">
        <v>313</v>
      </c>
      <c r="AK52" s="3"/>
      <c r="AM52" s="4"/>
      <c r="AO52" s="4"/>
      <c r="BA52" s="2"/>
      <c r="BB52" s="2"/>
      <c r="BD52" s="4"/>
      <c r="BF52" s="4"/>
      <c r="BM52" s="2"/>
      <c r="BO52" s="4"/>
      <c r="BQ52" s="4"/>
      <c r="CJ52" s="2"/>
      <c r="CN52" s="2"/>
      <c r="CQ52" s="2"/>
      <c r="CV52" s="4"/>
      <c r="CX52" s="4"/>
      <c r="DB52" s="2"/>
      <c r="DC52" s="2"/>
      <c r="DE52" s="2"/>
      <c r="DF52" s="2"/>
      <c r="DV52" s="2"/>
      <c r="DW52" s="2"/>
      <c r="EF52" s="4"/>
      <c r="EH52" s="4"/>
      <c r="ER52" s="2"/>
      <c r="ES52" s="2"/>
      <c r="EX52" s="4"/>
      <c r="EZ52" s="4"/>
      <c r="FS52" s="4"/>
      <c r="GE52" s="2"/>
      <c r="GJ52" s="4"/>
      <c r="GL52" s="4"/>
      <c r="GR52" s="2"/>
      <c r="GT52" s="3"/>
      <c r="GV52" s="2"/>
      <c r="GX52" s="3"/>
      <c r="HB52" s="3"/>
      <c r="HP52" s="2"/>
      <c r="HU52" s="4"/>
      <c r="II52" s="4"/>
      <c r="IS52" s="2"/>
      <c r="IT52" s="2"/>
      <c r="IV52" s="2"/>
      <c r="IW52" s="4"/>
      <c r="IY52" s="4"/>
      <c r="JH52" s="2"/>
      <c r="JK52" s="4"/>
      <c r="JM52" s="4"/>
      <c r="JZ52" s="2"/>
      <c r="KD52" s="4"/>
      <c r="KF52" s="4"/>
      <c r="KJ52" s="4"/>
      <c r="KT52" s="2"/>
      <c r="KU52" s="2"/>
      <c r="KW52" s="2"/>
      <c r="LC52" s="2"/>
      <c r="LF52" s="2"/>
      <c r="LK52" s="2"/>
      <c r="LM52" s="3"/>
      <c r="LT52" s="4"/>
      <c r="LV52" s="4"/>
      <c r="MF52" s="3"/>
      <c r="NB52" s="2"/>
      <c r="NC52" s="2"/>
      <c r="NJ52" s="2"/>
      <c r="NO52" s="2"/>
      <c r="NT52" s="4"/>
      <c r="NV52" s="4"/>
      <c r="OA52" s="2"/>
      <c r="OB52" s="2"/>
      <c r="ON52" s="2"/>
      <c r="OR52" s="4"/>
      <c r="OT52" s="4"/>
      <c r="PD52" s="2"/>
      <c r="PH52" s="2"/>
      <c r="PQ52" s="2"/>
      <c r="PX52" s="2"/>
      <c r="PZ52" s="2"/>
      <c r="QF52" s="4"/>
      <c r="QH52" s="4"/>
      <c r="RA52" s="2"/>
      <c r="RN52" s="4"/>
      <c r="RO52" s="4"/>
      <c r="RR52" s="2"/>
      <c r="RT52" s="2"/>
      <c r="SA52" s="4"/>
      <c r="SC52" s="4"/>
      <c r="SN52" s="2"/>
      <c r="SQ52" s="4"/>
      <c r="SS52" s="4"/>
      <c r="TG52" s="2"/>
      <c r="TH52" s="2"/>
      <c r="TI52" s="2"/>
      <c r="TU52" s="4"/>
      <c r="TW52" s="4"/>
    </row>
    <row r="53" spans="1:543">
      <c r="A53">
        <v>7487</v>
      </c>
      <c r="B53">
        <v>5668</v>
      </c>
      <c r="C53">
        <v>5897222998</v>
      </c>
      <c r="D53" t="s">
        <v>40</v>
      </c>
      <c r="E53" t="s">
        <v>307</v>
      </c>
      <c r="F53" t="s">
        <v>308</v>
      </c>
      <c r="G53" s="2">
        <v>28490</v>
      </c>
      <c r="H53" t="s">
        <v>30</v>
      </c>
      <c r="I53" t="s">
        <v>130</v>
      </c>
      <c r="J53" t="s">
        <v>61</v>
      </c>
      <c r="K53" t="s">
        <v>309</v>
      </c>
      <c r="L53" t="s">
        <v>95</v>
      </c>
      <c r="M53" s="2">
        <v>37222</v>
      </c>
      <c r="N53" t="s">
        <v>310</v>
      </c>
      <c r="O53" s="2">
        <f>DATE(YEAR(G53) + P53, MONTH(G53), DAY(G53))</f>
        <v>52596</v>
      </c>
      <c r="P53">
        <v>66</v>
      </c>
      <c r="Q53" s="2">
        <v>45290</v>
      </c>
      <c r="R53" t="s">
        <v>36</v>
      </c>
      <c r="S53" t="s">
        <v>102</v>
      </c>
      <c r="T53" s="2">
        <v>42061</v>
      </c>
      <c r="U53" t="s">
        <v>38</v>
      </c>
      <c r="V53" t="s">
        <v>38</v>
      </c>
      <c r="W53">
        <v>25</v>
      </c>
      <c r="X53" s="1">
        <v>36730</v>
      </c>
      <c r="Y53" s="1">
        <v>7346</v>
      </c>
      <c r="Z53" s="1">
        <v>29384</v>
      </c>
      <c r="AA53" s="3">
        <v>705</v>
      </c>
      <c r="AK53" s="3"/>
      <c r="AM53" s="4"/>
      <c r="AO53" s="4"/>
      <c r="BA53" s="2"/>
      <c r="BB53" s="2"/>
      <c r="BD53" s="4"/>
      <c r="BF53" s="4"/>
      <c r="BM53" s="2"/>
      <c r="BO53" s="4"/>
      <c r="BQ53" s="4"/>
      <c r="CG53" s="3"/>
      <c r="CI53" s="2"/>
      <c r="CJ53" s="2"/>
      <c r="CN53" s="2"/>
      <c r="CQ53" s="2"/>
      <c r="CX53" s="4"/>
      <c r="DA53" s="3"/>
      <c r="DB53" s="2"/>
      <c r="DC53" s="2"/>
      <c r="DE53" s="2"/>
      <c r="DV53" s="2"/>
      <c r="DW53" s="2"/>
      <c r="EF53" s="4"/>
      <c r="EH53" s="4"/>
      <c r="ER53" s="2"/>
      <c r="ES53" s="2"/>
      <c r="EX53" s="4"/>
      <c r="EZ53" s="4"/>
      <c r="FQ53" s="4"/>
      <c r="FS53" s="4"/>
      <c r="GE53" s="2"/>
      <c r="GJ53" s="4"/>
      <c r="GL53" s="4"/>
      <c r="GR53" s="2"/>
      <c r="GU53" s="3"/>
      <c r="GV53" s="2"/>
      <c r="GX53" s="3"/>
      <c r="GY53" s="3"/>
      <c r="HB53" s="3"/>
      <c r="HN53" s="3"/>
      <c r="HP53" s="2"/>
      <c r="HS53" s="4"/>
      <c r="HU53" s="4"/>
      <c r="II53" s="4"/>
      <c r="IK53" s="4"/>
      <c r="IS53" s="2"/>
      <c r="IT53" s="2"/>
      <c r="IV53" s="2"/>
      <c r="IW53" s="4"/>
      <c r="IY53" s="4"/>
      <c r="JH53" s="2"/>
      <c r="JK53" s="4"/>
      <c r="JM53" s="4"/>
      <c r="KD53" s="4"/>
      <c r="KF53" s="4"/>
      <c r="KJ53" s="4"/>
      <c r="KT53" s="2"/>
      <c r="KU53" s="2"/>
      <c r="KW53" s="2"/>
      <c r="LC53" s="2"/>
      <c r="LF53" s="2"/>
      <c r="LK53" s="2"/>
      <c r="LT53" s="4"/>
      <c r="LV53" s="4"/>
      <c r="MI53" s="3"/>
      <c r="NB53" s="2"/>
      <c r="NC53" s="2"/>
      <c r="NJ53" s="2"/>
      <c r="NO53" s="2"/>
      <c r="NT53" s="4"/>
      <c r="OA53" s="2"/>
      <c r="OB53" s="2"/>
      <c r="OR53" s="4"/>
      <c r="OT53" s="4"/>
      <c r="PD53" s="2"/>
      <c r="PH53" s="2"/>
      <c r="PQ53" s="2"/>
      <c r="PX53" s="2"/>
      <c r="PZ53" s="2"/>
      <c r="QF53" s="4"/>
      <c r="QH53" s="4"/>
      <c r="QZ53" s="2"/>
      <c r="RA53" s="2"/>
      <c r="RN53" s="4"/>
      <c r="RO53" s="4"/>
      <c r="RR53" s="2"/>
      <c r="RT53" s="2"/>
      <c r="RU53" s="2"/>
      <c r="SA53" s="4"/>
      <c r="SC53" s="4"/>
      <c r="SN53" s="2"/>
      <c r="SQ53" s="4"/>
      <c r="SS53" s="4"/>
      <c r="TG53" s="2"/>
      <c r="TH53" s="2"/>
      <c r="TI53" s="2"/>
      <c r="TU53" s="4"/>
      <c r="TW53" s="4"/>
    </row>
    <row r="54" spans="1:543">
      <c r="A54">
        <v>6152</v>
      </c>
      <c r="B54">
        <v>2288</v>
      </c>
      <c r="C54">
        <v>2260044965</v>
      </c>
      <c r="D54" t="s">
        <v>311</v>
      </c>
      <c r="E54" t="s">
        <v>312</v>
      </c>
      <c r="F54" t="s">
        <v>313</v>
      </c>
      <c r="G54" s="2">
        <v>40481</v>
      </c>
      <c r="H54" t="s">
        <v>43</v>
      </c>
      <c r="I54" t="s">
        <v>124</v>
      </c>
      <c r="J54" t="s">
        <v>61</v>
      </c>
      <c r="K54" t="s">
        <v>314</v>
      </c>
      <c r="L54" t="s">
        <v>95</v>
      </c>
      <c r="M54" s="2">
        <v>28702</v>
      </c>
      <c r="N54" t="s">
        <v>315</v>
      </c>
      <c r="O54" s="2">
        <f>DATE(YEAR(G54) + P54, MONTH(G54), DAY(G54))</f>
        <v>64588</v>
      </c>
      <c r="P54">
        <v>66</v>
      </c>
      <c r="Q54" s="2"/>
      <c r="R54" t="s">
        <v>47</v>
      </c>
      <c r="S54" t="s">
        <v>64</v>
      </c>
      <c r="T54" s="2">
        <v>42673</v>
      </c>
      <c r="U54" t="s">
        <v>38</v>
      </c>
      <c r="V54" t="s">
        <v>39</v>
      </c>
      <c r="W54">
        <v>17</v>
      </c>
      <c r="X54" s="1">
        <v>73770</v>
      </c>
      <c r="Y54" s="1">
        <v>14754</v>
      </c>
      <c r="Z54" s="1">
        <v>59016</v>
      </c>
      <c r="AA54" s="3">
        <v>388</v>
      </c>
      <c r="AK54" s="3"/>
      <c r="AM54" s="4"/>
      <c r="AO54" s="4"/>
      <c r="BA54" s="2"/>
      <c r="BB54" s="2"/>
      <c r="BD54" s="4"/>
      <c r="BF54" s="4"/>
      <c r="BM54" s="2"/>
      <c r="BO54" s="4"/>
      <c r="BQ54" s="4"/>
      <c r="CH54" s="3"/>
      <c r="CI54" s="2"/>
      <c r="CJ54" s="2"/>
      <c r="CN54" s="2"/>
      <c r="CX54" s="4"/>
      <c r="DB54" s="2"/>
      <c r="DC54" s="2"/>
      <c r="DE54" s="2"/>
      <c r="DF54" s="2"/>
      <c r="DV54" s="2"/>
      <c r="DW54" s="2"/>
      <c r="EF54" s="4"/>
      <c r="EH54" s="4"/>
      <c r="ER54" s="2"/>
      <c r="ES54" s="2"/>
      <c r="EZ54" s="4"/>
      <c r="FQ54" s="4"/>
      <c r="FS54" s="4"/>
      <c r="GE54" s="2"/>
      <c r="GJ54" s="4"/>
      <c r="GL54" s="4"/>
      <c r="GR54" s="2"/>
      <c r="GV54" s="2"/>
      <c r="GW54" s="3"/>
      <c r="GX54" s="3"/>
      <c r="GY54" s="3"/>
      <c r="HB54" s="3"/>
      <c r="HP54" s="2"/>
      <c r="HS54" s="4"/>
      <c r="HU54" s="4"/>
      <c r="II54" s="4"/>
      <c r="IK54" s="4"/>
      <c r="IS54" s="2"/>
      <c r="IT54" s="2"/>
      <c r="IV54" s="2"/>
      <c r="IW54" s="4"/>
      <c r="IY54" s="4"/>
      <c r="JH54" s="2"/>
      <c r="JK54" s="4"/>
      <c r="JM54" s="4"/>
      <c r="JZ54" s="2"/>
      <c r="KD54" s="4"/>
      <c r="KF54" s="4"/>
      <c r="KJ54" s="4"/>
      <c r="KT54" s="2"/>
      <c r="KU54" s="2"/>
      <c r="KW54" s="2"/>
      <c r="LC54" s="2"/>
      <c r="LF54" s="2"/>
      <c r="LK54" s="2"/>
      <c r="LT54" s="4"/>
      <c r="LV54" s="4"/>
      <c r="MB54" s="3"/>
      <c r="NB54" s="2"/>
      <c r="NC54" s="2"/>
      <c r="NG54" s="5"/>
      <c r="NJ54" s="2"/>
      <c r="NN54" s="2"/>
      <c r="NO54" s="2"/>
      <c r="NT54" s="4"/>
      <c r="NV54" s="4"/>
      <c r="OA54" s="2"/>
      <c r="ON54" s="2"/>
      <c r="OR54" s="4"/>
      <c r="OT54" s="4"/>
      <c r="PD54" s="2"/>
      <c r="PH54" s="2"/>
      <c r="PQ54" s="2"/>
      <c r="PX54" s="2"/>
      <c r="PZ54" s="2"/>
      <c r="QH54" s="4"/>
      <c r="QZ54" s="2"/>
      <c r="RA54" s="2"/>
      <c r="RN54" s="4"/>
      <c r="RO54" s="4"/>
      <c r="RR54" s="2"/>
      <c r="RT54" s="2"/>
      <c r="RU54" s="2"/>
      <c r="SA54" s="4"/>
      <c r="SN54" s="2"/>
      <c r="SQ54" s="4"/>
      <c r="SS54" s="4"/>
      <c r="TG54" s="2"/>
      <c r="TH54" s="2"/>
      <c r="TI54" s="2"/>
      <c r="TU54" s="4"/>
      <c r="TW54" s="4"/>
    </row>
    <row r="55" spans="1:543">
      <c r="A55">
        <v>6560</v>
      </c>
      <c r="B55">
        <v>7319</v>
      </c>
      <c r="C55">
        <v>3151650091</v>
      </c>
      <c r="D55" t="s">
        <v>316</v>
      </c>
      <c r="E55" t="s">
        <v>317</v>
      </c>
      <c r="F55" t="s">
        <v>318</v>
      </c>
      <c r="G55" s="2">
        <v>38352</v>
      </c>
      <c r="H55" t="s">
        <v>43</v>
      </c>
      <c r="I55" t="s">
        <v>44</v>
      </c>
      <c r="J55" t="s">
        <v>32</v>
      </c>
      <c r="K55" t="s">
        <v>319</v>
      </c>
      <c r="L55" t="s">
        <v>77</v>
      </c>
      <c r="N55" t="s">
        <v>320</v>
      </c>
      <c r="O55" s="2">
        <f>DATE(YEAR(G55) + P55, MONTH(G55), DAY(G55))</f>
        <v>60997</v>
      </c>
      <c r="P55">
        <v>62</v>
      </c>
      <c r="Q55" s="2"/>
      <c r="R55" t="s">
        <v>47</v>
      </c>
      <c r="S55" t="s">
        <v>48</v>
      </c>
      <c r="T55" s="2">
        <v>30677</v>
      </c>
      <c r="U55" t="s">
        <v>103</v>
      </c>
      <c r="V55" t="s">
        <v>38</v>
      </c>
      <c r="W55">
        <v>5</v>
      </c>
      <c r="X55" s="1">
        <v>79870</v>
      </c>
      <c r="Y55" s="1">
        <v>15974</v>
      </c>
      <c r="Z55" s="1">
        <v>63896</v>
      </c>
      <c r="AA55" s="3">
        <v>927</v>
      </c>
      <c r="AK55" s="3"/>
      <c r="AM55" s="4"/>
      <c r="AO55" s="4"/>
      <c r="BA55" s="2"/>
      <c r="BB55" s="2"/>
      <c r="BD55" s="4"/>
      <c r="BF55" s="4"/>
      <c r="BM55" s="2"/>
      <c r="BO55" s="4"/>
      <c r="BQ55" s="4"/>
      <c r="CI55" s="2"/>
      <c r="CJ55" s="2"/>
      <c r="CK55" s="3"/>
      <c r="CN55" s="2"/>
      <c r="CQ55" s="2"/>
      <c r="CV55" s="4"/>
      <c r="CX55" s="4"/>
      <c r="DB55" s="2"/>
      <c r="DC55" s="2"/>
      <c r="DE55" s="2"/>
      <c r="DF55" s="2"/>
      <c r="DV55" s="2"/>
      <c r="DW55" s="2"/>
      <c r="EF55" s="4"/>
      <c r="EH55" s="4"/>
      <c r="ER55" s="2"/>
      <c r="ES55" s="2"/>
      <c r="EX55" s="4"/>
      <c r="EZ55" s="4"/>
      <c r="FQ55" s="4"/>
      <c r="GE55" s="2"/>
      <c r="GJ55" s="4"/>
      <c r="GL55" s="4"/>
      <c r="GR55" s="2"/>
      <c r="GS55" s="3"/>
      <c r="GT55" s="3"/>
      <c r="GU55" s="3"/>
      <c r="GV55" s="2"/>
      <c r="GW55" s="3"/>
      <c r="HB55" s="3"/>
      <c r="HO55" s="3"/>
      <c r="HP55" s="2"/>
      <c r="HU55" s="4"/>
      <c r="II55" s="4"/>
      <c r="IK55" s="4"/>
      <c r="IS55" s="2"/>
      <c r="IT55" s="2"/>
      <c r="IV55" s="2"/>
      <c r="IW55" s="4"/>
      <c r="IY55" s="4"/>
      <c r="JK55" s="4"/>
      <c r="JM55" s="4"/>
      <c r="JZ55" s="2"/>
      <c r="KD55" s="4"/>
      <c r="KF55" s="4"/>
      <c r="KJ55" s="4"/>
      <c r="KT55" s="2"/>
      <c r="KU55" s="2"/>
      <c r="KW55" s="2"/>
      <c r="LF55" s="2"/>
      <c r="LK55" s="2"/>
      <c r="LT55" s="4"/>
      <c r="LV55" s="4"/>
      <c r="NB55" s="2"/>
      <c r="NC55" s="2"/>
      <c r="NJ55" s="2"/>
      <c r="NM55" s="3"/>
      <c r="NN55" s="2"/>
      <c r="NO55" s="2"/>
      <c r="NT55" s="4"/>
      <c r="NV55" s="4"/>
      <c r="OA55" s="2"/>
      <c r="OB55" s="2"/>
      <c r="ON55" s="2"/>
      <c r="OR55" s="4"/>
      <c r="OT55" s="4"/>
      <c r="PD55" s="2"/>
      <c r="PQ55" s="2"/>
      <c r="PX55" s="2"/>
      <c r="PY55" s="3"/>
      <c r="PZ55" s="2"/>
      <c r="QF55" s="4"/>
      <c r="QH55" s="4"/>
      <c r="QZ55" s="2"/>
      <c r="RA55" s="2"/>
      <c r="RO55" s="4"/>
      <c r="RR55" s="2"/>
      <c r="RT55" s="2"/>
      <c r="RU55" s="2"/>
      <c r="SA55" s="4"/>
      <c r="SC55" s="4"/>
      <c r="SN55" s="2"/>
      <c r="SQ55" s="4"/>
      <c r="SS55" s="4"/>
      <c r="TG55" s="2"/>
      <c r="TH55" s="2"/>
      <c r="TI55" s="2"/>
      <c r="TN55" s="3"/>
      <c r="TU55" s="4"/>
      <c r="TW55" s="4"/>
    </row>
    <row r="56" spans="1:543">
      <c r="A56">
        <v>9668</v>
      </c>
      <c r="B56">
        <v>1895</v>
      </c>
      <c r="C56">
        <v>6057897601</v>
      </c>
      <c r="D56" t="s">
        <v>104</v>
      </c>
      <c r="E56" t="s">
        <v>321</v>
      </c>
      <c r="F56" t="s">
        <v>322</v>
      </c>
      <c r="G56" s="2">
        <v>38172</v>
      </c>
      <c r="H56" t="s">
        <v>43</v>
      </c>
      <c r="I56" t="s">
        <v>192</v>
      </c>
      <c r="J56" t="s">
        <v>61</v>
      </c>
      <c r="K56" t="s">
        <v>323</v>
      </c>
      <c r="L56" t="s">
        <v>95</v>
      </c>
      <c r="M56" s="2">
        <v>38934</v>
      </c>
      <c r="N56" t="s">
        <v>324</v>
      </c>
      <c r="O56" s="2">
        <f>DATE(YEAR(G56) + P56, MONTH(G56), DAY(G56))</f>
        <v>63009</v>
      </c>
      <c r="P56">
        <v>68</v>
      </c>
      <c r="Q56" s="2"/>
      <c r="R56" t="s">
        <v>47</v>
      </c>
      <c r="S56" t="s">
        <v>102</v>
      </c>
      <c r="T56" s="2">
        <v>30226</v>
      </c>
      <c r="U56" t="s">
        <v>133</v>
      </c>
      <c r="V56" t="s">
        <v>56</v>
      </c>
      <c r="W56">
        <v>12</v>
      </c>
      <c r="X56" s="1">
        <v>84794</v>
      </c>
      <c r="Y56" s="1">
        <v>16958.8</v>
      </c>
      <c r="Z56" s="1">
        <v>67835.199999999997</v>
      </c>
      <c r="AA56" s="3">
        <v>25</v>
      </c>
      <c r="AK56" s="3"/>
      <c r="AO56" s="4"/>
      <c r="BB56" s="2"/>
      <c r="BD56" s="4"/>
      <c r="BF56" s="4"/>
      <c r="BM56" s="2"/>
      <c r="BO56" s="4"/>
      <c r="BQ56" s="4"/>
      <c r="CI56" s="2"/>
      <c r="CJ56" s="2"/>
      <c r="CN56" s="2"/>
      <c r="CQ56" s="2"/>
      <c r="CV56" s="4"/>
      <c r="CX56" s="4"/>
      <c r="DC56" s="2"/>
      <c r="DE56" s="2"/>
      <c r="DF56" s="2"/>
      <c r="DV56" s="2"/>
      <c r="DW56" s="2"/>
      <c r="EF56" s="4"/>
      <c r="EH56" s="4"/>
      <c r="ER56" s="2"/>
      <c r="ES56" s="2"/>
      <c r="EX56" s="4"/>
      <c r="EZ56" s="4"/>
      <c r="FQ56" s="4"/>
      <c r="GD56" s="3"/>
      <c r="GE56" s="2"/>
      <c r="GJ56" s="4"/>
      <c r="GL56" s="4"/>
      <c r="GR56" s="2"/>
      <c r="GS56" s="3"/>
      <c r="GU56" s="3"/>
      <c r="GV56" s="2"/>
      <c r="GX56" s="3"/>
      <c r="GY56" s="3"/>
      <c r="HB56" s="3"/>
      <c r="HP56" s="2"/>
      <c r="HQ56" s="3"/>
      <c r="HS56" s="4"/>
      <c r="HU56" s="4"/>
      <c r="II56" s="4"/>
      <c r="IK56" s="4"/>
      <c r="IS56" s="2"/>
      <c r="IV56" s="2"/>
      <c r="IW56" s="4"/>
      <c r="IY56" s="4"/>
      <c r="JH56" s="2"/>
      <c r="JK56" s="4"/>
      <c r="JM56" s="4"/>
      <c r="JZ56" s="2"/>
      <c r="KD56" s="4"/>
      <c r="KF56" s="4"/>
      <c r="KT56" s="2"/>
      <c r="KU56" s="2"/>
      <c r="KW56" s="2"/>
      <c r="LC56" s="2"/>
      <c r="LF56" s="2"/>
      <c r="LK56" s="2"/>
      <c r="LT56" s="4"/>
      <c r="LV56" s="4"/>
      <c r="NB56" s="2"/>
      <c r="NC56" s="2"/>
      <c r="NJ56" s="2"/>
      <c r="NN56" s="2"/>
      <c r="NO56" s="2"/>
      <c r="NT56" s="4"/>
      <c r="NV56" s="4"/>
      <c r="OA56" s="2"/>
      <c r="OB56" s="2"/>
      <c r="ON56" s="2"/>
      <c r="OR56" s="4"/>
      <c r="OT56" s="4"/>
      <c r="PD56" s="2"/>
      <c r="PH56" s="2"/>
      <c r="PQ56" s="2"/>
      <c r="PX56" s="2"/>
      <c r="PZ56" s="2"/>
      <c r="QF56" s="4"/>
      <c r="QH56" s="4"/>
      <c r="QZ56" s="2"/>
      <c r="RA56" s="2"/>
      <c r="RN56" s="4"/>
      <c r="RO56" s="4"/>
      <c r="RR56" s="2"/>
      <c r="RT56" s="2"/>
      <c r="RU56" s="2"/>
      <c r="SA56" s="4"/>
      <c r="SC56" s="4"/>
      <c r="SN56" s="2"/>
      <c r="SS56" s="4"/>
      <c r="TG56" s="2"/>
      <c r="TH56" s="2"/>
      <c r="TI56" s="2"/>
      <c r="TU56" s="4"/>
      <c r="TW56" s="4"/>
    </row>
    <row r="57" spans="1:543">
      <c r="A57">
        <v>918</v>
      </c>
      <c r="B57">
        <v>6846</v>
      </c>
      <c r="C57">
        <v>7019246833</v>
      </c>
      <c r="D57" t="s">
        <v>287</v>
      </c>
      <c r="E57" t="s">
        <v>325</v>
      </c>
      <c r="F57" t="s">
        <v>326</v>
      </c>
      <c r="G57" s="2">
        <v>34272</v>
      </c>
      <c r="H57" t="s">
        <v>30</v>
      </c>
      <c r="I57" t="s">
        <v>130</v>
      </c>
      <c r="J57" t="s">
        <v>32</v>
      </c>
      <c r="K57" t="s">
        <v>327</v>
      </c>
      <c r="L57" t="s">
        <v>77</v>
      </c>
      <c r="M57" s="2"/>
      <c r="N57" t="s">
        <v>328</v>
      </c>
      <c r="O57" s="2">
        <f>DATE(YEAR(G57) + P57, MONTH(G57), DAY(G57))</f>
        <v>58378</v>
      </c>
      <c r="P57">
        <v>66</v>
      </c>
      <c r="Q57" s="2"/>
      <c r="R57" t="s">
        <v>47</v>
      </c>
      <c r="S57" t="s">
        <v>102</v>
      </c>
      <c r="T57" s="2">
        <v>44870</v>
      </c>
      <c r="U57" t="s">
        <v>103</v>
      </c>
      <c r="V57" t="s">
        <v>39</v>
      </c>
      <c r="W57">
        <v>14</v>
      </c>
      <c r="X57" s="1">
        <v>63414</v>
      </c>
      <c r="Y57" s="1">
        <v>12682.800000000001</v>
      </c>
      <c r="Z57" s="1">
        <v>50731.199999999997</v>
      </c>
      <c r="AA57" s="3">
        <v>758</v>
      </c>
      <c r="AB57" s="3"/>
      <c r="AK57" s="3"/>
      <c r="AM57" s="4"/>
      <c r="AO57" s="4"/>
      <c r="BA57" s="2"/>
      <c r="BB57" s="2"/>
      <c r="BD57" s="4"/>
      <c r="BF57" s="4"/>
      <c r="BM57" s="2"/>
      <c r="BO57" s="4"/>
      <c r="CF57" s="3"/>
      <c r="CJ57" s="2"/>
      <c r="CK57" s="3"/>
      <c r="CN57" s="2"/>
      <c r="CQ57" s="2"/>
      <c r="CV57" s="4"/>
      <c r="CX57" s="4"/>
      <c r="DB57" s="2"/>
      <c r="DC57" s="2"/>
      <c r="DF57" s="2"/>
      <c r="DV57" s="2"/>
      <c r="DW57" s="2"/>
      <c r="EF57" s="4"/>
      <c r="EH57" s="4"/>
      <c r="ER57" s="2"/>
      <c r="ES57" s="2"/>
      <c r="EX57" s="4"/>
      <c r="EZ57" s="4"/>
      <c r="FQ57" s="4"/>
      <c r="FS57" s="4"/>
      <c r="GE57" s="2"/>
      <c r="GJ57" s="4"/>
      <c r="GL57" s="4"/>
      <c r="GR57" s="2"/>
      <c r="GS57" s="3"/>
      <c r="GT57" s="3"/>
      <c r="GU57" s="3"/>
      <c r="GV57" s="2"/>
      <c r="GY57" s="3"/>
      <c r="HB57" s="3"/>
      <c r="HN57" s="3"/>
      <c r="HP57" s="2"/>
      <c r="HS57" s="4"/>
      <c r="HU57" s="4"/>
      <c r="II57" s="4"/>
      <c r="IK57" s="4"/>
      <c r="IS57" s="2"/>
      <c r="IT57" s="2"/>
      <c r="IV57" s="2"/>
      <c r="IW57" s="4"/>
      <c r="IY57" s="4"/>
      <c r="JH57" s="2"/>
      <c r="JK57" s="4"/>
      <c r="JM57" s="4"/>
      <c r="JZ57" s="2"/>
      <c r="KD57" s="4"/>
      <c r="KF57" s="4"/>
      <c r="KJ57" s="4"/>
      <c r="KT57" s="2"/>
      <c r="KU57" s="2"/>
      <c r="KW57" s="2"/>
      <c r="LC57" s="2"/>
      <c r="LF57" s="2"/>
      <c r="LK57" s="2"/>
      <c r="LT57" s="4"/>
      <c r="LV57" s="4"/>
      <c r="MD57" s="3"/>
      <c r="NB57" s="2"/>
      <c r="NC57" s="2"/>
      <c r="NG57" s="5"/>
      <c r="NJ57" s="2"/>
      <c r="NN57" s="2"/>
      <c r="NO57" s="2"/>
      <c r="NP57" s="3"/>
      <c r="NT57" s="4"/>
      <c r="NV57" s="4"/>
      <c r="OA57" s="2"/>
      <c r="OB57" s="2"/>
      <c r="ON57" s="2"/>
      <c r="OR57" s="4"/>
      <c r="OT57" s="4"/>
      <c r="PD57" s="2"/>
      <c r="PH57" s="2"/>
      <c r="PQ57" s="2"/>
      <c r="PX57" s="2"/>
      <c r="PZ57" s="2"/>
      <c r="QF57" s="4"/>
      <c r="QH57" s="4"/>
      <c r="QX57" s="3"/>
      <c r="QZ57" s="2"/>
      <c r="RA57" s="2"/>
      <c r="RN57" s="4"/>
      <c r="RO57" s="4"/>
      <c r="RR57" s="2"/>
      <c r="RT57" s="2"/>
      <c r="RU57" s="2"/>
      <c r="SA57" s="4"/>
      <c r="SC57" s="4"/>
      <c r="SQ57" s="4"/>
      <c r="SS57" s="4"/>
      <c r="TG57" s="2"/>
      <c r="TH57" s="2"/>
      <c r="TI57" s="2"/>
      <c r="TU57" s="4"/>
      <c r="TW57" s="4"/>
    </row>
    <row r="58" spans="1:543">
      <c r="A58">
        <v>4999</v>
      </c>
      <c r="B58">
        <v>9426</v>
      </c>
      <c r="C58">
        <v>4484456084</v>
      </c>
      <c r="D58" t="s">
        <v>79</v>
      </c>
      <c r="E58" t="s">
        <v>329</v>
      </c>
      <c r="F58" t="s">
        <v>330</v>
      </c>
      <c r="G58" s="2">
        <v>38208</v>
      </c>
      <c r="H58" t="s">
        <v>30</v>
      </c>
      <c r="I58" t="s">
        <v>331</v>
      </c>
      <c r="J58" t="s">
        <v>32</v>
      </c>
      <c r="K58" t="s">
        <v>332</v>
      </c>
      <c r="L58" t="s">
        <v>34</v>
      </c>
      <c r="M58" s="2"/>
      <c r="N58" t="s">
        <v>333</v>
      </c>
      <c r="O58" s="2">
        <f>DATE(YEAR(G58) + P58, MONTH(G58), DAY(G58))</f>
        <v>63410</v>
      </c>
      <c r="P58">
        <v>69</v>
      </c>
      <c r="Q58" s="2"/>
      <c r="R58" t="s">
        <v>47</v>
      </c>
      <c r="S58" t="s">
        <v>102</v>
      </c>
      <c r="T58" s="2">
        <v>45778</v>
      </c>
      <c r="U58" t="s">
        <v>49</v>
      </c>
      <c r="V58" t="s">
        <v>39</v>
      </c>
      <c r="W58">
        <v>18</v>
      </c>
      <c r="X58" s="1">
        <v>56490</v>
      </c>
      <c r="Y58" s="1">
        <v>11298</v>
      </c>
      <c r="Z58" s="1">
        <v>45192</v>
      </c>
      <c r="AA58" s="3">
        <v>874</v>
      </c>
      <c r="AB58" s="3"/>
      <c r="AK58" s="3"/>
      <c r="AM58" s="4"/>
      <c r="AO58" s="4"/>
      <c r="BA58" s="2"/>
      <c r="BB58" s="2"/>
      <c r="BD58" s="4"/>
      <c r="BF58" s="4"/>
      <c r="BM58" s="2"/>
      <c r="BO58" s="4"/>
      <c r="BQ58" s="4"/>
      <c r="CI58" s="2"/>
      <c r="CJ58" s="2"/>
      <c r="CM58" s="3"/>
      <c r="CN58" s="2"/>
      <c r="CQ58" s="2"/>
      <c r="CX58" s="4"/>
      <c r="DB58" s="2"/>
      <c r="DC58" s="2"/>
      <c r="DE58" s="2"/>
      <c r="DF58" s="2"/>
      <c r="DV58" s="2"/>
      <c r="DW58" s="2"/>
      <c r="EF58" s="4"/>
      <c r="EH58" s="4"/>
      <c r="ER58" s="2"/>
      <c r="EX58" s="4"/>
      <c r="EZ58" s="4"/>
      <c r="FQ58" s="4"/>
      <c r="FS58" s="4"/>
      <c r="GE58" s="2"/>
      <c r="GJ58" s="4"/>
      <c r="GL58" s="4"/>
      <c r="GR58" s="2"/>
      <c r="GV58" s="2"/>
      <c r="GY58" s="3"/>
      <c r="HB58" s="3"/>
      <c r="HN58" s="3"/>
      <c r="HP58" s="2"/>
      <c r="HS58" s="4"/>
      <c r="HU58" s="4"/>
      <c r="II58" s="4"/>
      <c r="IK58" s="4"/>
      <c r="IS58" s="2"/>
      <c r="IT58" s="2"/>
      <c r="IW58" s="4"/>
      <c r="IY58" s="4"/>
      <c r="JH58" s="2"/>
      <c r="JK58" s="4"/>
      <c r="JM58" s="4"/>
      <c r="JZ58" s="2"/>
      <c r="KD58" s="4"/>
      <c r="KF58" s="4"/>
      <c r="KI58" s="3"/>
      <c r="KJ58" s="4"/>
      <c r="KT58" s="2"/>
      <c r="KU58" s="2"/>
      <c r="KW58" s="2"/>
      <c r="LC58" s="2"/>
      <c r="LK58" s="2"/>
      <c r="LT58" s="4"/>
      <c r="NC58" s="2"/>
      <c r="NN58" s="2"/>
      <c r="NT58" s="4"/>
      <c r="NV58" s="4"/>
      <c r="OA58" s="2"/>
      <c r="OB58" s="2"/>
      <c r="ON58" s="2"/>
      <c r="OO58" s="3"/>
      <c r="OR58" s="4"/>
      <c r="OT58" s="4"/>
      <c r="PD58" s="2"/>
      <c r="PH58" s="2"/>
      <c r="PQ58" s="2"/>
      <c r="PX58" s="2"/>
      <c r="PZ58" s="2"/>
      <c r="QF58" s="4"/>
      <c r="QH58" s="4"/>
      <c r="QZ58" s="2"/>
      <c r="RA58" s="2"/>
      <c r="RN58" s="4"/>
      <c r="RO58" s="4"/>
      <c r="RR58" s="2"/>
      <c r="RT58" s="2"/>
      <c r="SC58" s="4"/>
      <c r="SN58" s="2"/>
      <c r="SQ58" s="4"/>
      <c r="SS58" s="4"/>
      <c r="TG58" s="2"/>
      <c r="TU58" s="4"/>
      <c r="TW58" s="4"/>
    </row>
    <row r="59" spans="1:543">
      <c r="A59">
        <v>7765</v>
      </c>
      <c r="B59">
        <v>1148</v>
      </c>
      <c r="C59">
        <v>7395966297</v>
      </c>
      <c r="D59" t="s">
        <v>233</v>
      </c>
      <c r="E59" t="s">
        <v>334</v>
      </c>
      <c r="F59" t="s">
        <v>335</v>
      </c>
      <c r="G59" s="2">
        <v>40529</v>
      </c>
      <c r="H59" t="s">
        <v>43</v>
      </c>
      <c r="I59" t="s">
        <v>70</v>
      </c>
      <c r="J59" t="s">
        <v>61</v>
      </c>
      <c r="K59" t="s">
        <v>336</v>
      </c>
      <c r="L59" t="s">
        <v>77</v>
      </c>
      <c r="M59" s="2">
        <v>23844</v>
      </c>
      <c r="N59" t="s">
        <v>337</v>
      </c>
      <c r="O59" s="2">
        <f>DATE(YEAR(G59) + P59, MONTH(G59), DAY(G59))</f>
        <v>65731</v>
      </c>
      <c r="P59">
        <v>69</v>
      </c>
      <c r="Q59" s="2">
        <v>43754</v>
      </c>
      <c r="R59" t="s">
        <v>36</v>
      </c>
      <c r="S59" t="s">
        <v>181</v>
      </c>
      <c r="T59" s="2">
        <v>45658</v>
      </c>
      <c r="U59" t="s">
        <v>38</v>
      </c>
      <c r="V59" t="s">
        <v>39</v>
      </c>
      <c r="W59">
        <v>23</v>
      </c>
      <c r="X59" s="1">
        <v>42187</v>
      </c>
      <c r="Y59" s="1">
        <v>8437.4</v>
      </c>
      <c r="Z59" s="1">
        <v>33749.599999999999</v>
      </c>
      <c r="AA59" s="3">
        <v>59</v>
      </c>
      <c r="AK59" s="3"/>
      <c r="AM59" s="4"/>
      <c r="BA59" s="2"/>
      <c r="BB59" s="2"/>
      <c r="BD59" s="4"/>
      <c r="BF59" s="4"/>
      <c r="BM59" s="2"/>
      <c r="BO59" s="4"/>
      <c r="BQ59" s="4"/>
      <c r="CI59" s="2"/>
      <c r="CJ59" s="2"/>
      <c r="CN59" s="2"/>
      <c r="CQ59" s="2"/>
      <c r="CV59" s="4"/>
      <c r="CX59" s="4"/>
      <c r="DB59" s="2"/>
      <c r="DC59" s="2"/>
      <c r="DE59" s="2"/>
      <c r="DF59" s="2"/>
      <c r="DV59" s="2"/>
      <c r="DW59" s="2"/>
      <c r="EH59" s="4"/>
      <c r="ER59" s="2"/>
      <c r="ES59" s="2"/>
      <c r="EU59" s="3"/>
      <c r="EX59" s="4"/>
      <c r="EZ59" s="4"/>
      <c r="FQ59" s="4"/>
      <c r="FS59" s="4"/>
      <c r="GE59" s="2"/>
      <c r="GJ59" s="4"/>
      <c r="GL59" s="4"/>
      <c r="GR59" s="2"/>
      <c r="GV59" s="2"/>
      <c r="GW59" s="3"/>
      <c r="GX59" s="3"/>
      <c r="GY59" s="3"/>
      <c r="HP59" s="2"/>
      <c r="HS59" s="4"/>
      <c r="HU59" s="4"/>
      <c r="IF59" s="3"/>
      <c r="II59" s="4"/>
      <c r="IK59" s="4"/>
      <c r="IS59" s="2"/>
      <c r="IT59" s="2"/>
      <c r="IV59" s="2"/>
      <c r="IW59" s="4"/>
      <c r="IY59" s="4"/>
      <c r="JK59" s="4"/>
      <c r="JM59" s="4"/>
      <c r="JZ59" s="2"/>
      <c r="KC59" s="3"/>
      <c r="KD59" s="4"/>
      <c r="KF59" s="4"/>
      <c r="KJ59" s="4"/>
      <c r="KT59" s="2"/>
      <c r="KU59" s="2"/>
      <c r="KW59" s="2"/>
      <c r="LC59" s="2"/>
      <c r="LF59" s="2"/>
      <c r="LK59" s="2"/>
      <c r="LT59" s="4"/>
      <c r="MF59" s="3"/>
      <c r="NB59" s="2"/>
      <c r="NC59" s="2"/>
      <c r="NJ59" s="2"/>
      <c r="NN59" s="2"/>
      <c r="NO59" s="2"/>
      <c r="NT59" s="4"/>
      <c r="NV59" s="4"/>
      <c r="OA59" s="2"/>
      <c r="OB59" s="2"/>
      <c r="ON59" s="2"/>
      <c r="OR59" s="4"/>
      <c r="OT59" s="4"/>
      <c r="PD59" s="2"/>
      <c r="PH59" s="2"/>
      <c r="PQ59" s="2"/>
      <c r="PX59" s="2"/>
      <c r="PZ59" s="2"/>
      <c r="QF59" s="4"/>
      <c r="QH59" s="4"/>
      <c r="QZ59" s="2"/>
      <c r="RA59" s="2"/>
      <c r="RN59" s="4"/>
      <c r="RO59" s="4"/>
      <c r="RR59" s="2"/>
      <c r="RT59" s="2"/>
      <c r="RU59" s="2"/>
      <c r="SA59" s="4"/>
      <c r="SC59" s="4"/>
      <c r="SQ59" s="4"/>
      <c r="SS59" s="4"/>
      <c r="TG59" s="2"/>
      <c r="TH59" s="2"/>
      <c r="TI59" s="2"/>
      <c r="TO59" s="3"/>
      <c r="TU59" s="4"/>
      <c r="TW59" s="4"/>
    </row>
    <row r="60" spans="1:543">
      <c r="A60">
        <v>7644</v>
      </c>
      <c r="B60">
        <v>35</v>
      </c>
      <c r="C60">
        <v>4914878490</v>
      </c>
      <c r="D60" t="s">
        <v>228</v>
      </c>
      <c r="E60" t="s">
        <v>338</v>
      </c>
      <c r="F60" t="s">
        <v>339</v>
      </c>
      <c r="G60" s="2">
        <v>40386</v>
      </c>
      <c r="H60" t="s">
        <v>43</v>
      </c>
      <c r="I60" t="s">
        <v>331</v>
      </c>
      <c r="J60" t="s">
        <v>61</v>
      </c>
      <c r="K60" t="s">
        <v>340</v>
      </c>
      <c r="L60" t="s">
        <v>95</v>
      </c>
      <c r="M60" s="2">
        <v>39114</v>
      </c>
      <c r="N60" t="s">
        <v>341</v>
      </c>
      <c r="O60" s="2">
        <f>DATE(YEAR(G60) + P60, MONTH(G60), DAY(G60))</f>
        <v>64127</v>
      </c>
      <c r="P60">
        <v>65</v>
      </c>
      <c r="Q60" s="2"/>
      <c r="R60" t="s">
        <v>47</v>
      </c>
      <c r="S60" t="s">
        <v>102</v>
      </c>
      <c r="T60" s="2">
        <v>42735</v>
      </c>
      <c r="U60" t="s">
        <v>38</v>
      </c>
      <c r="V60" t="s">
        <v>66</v>
      </c>
      <c r="W60">
        <v>24</v>
      </c>
      <c r="X60" s="1">
        <v>43718</v>
      </c>
      <c r="Y60" s="1">
        <v>8743.6</v>
      </c>
      <c r="Z60" s="1">
        <v>34974.400000000001</v>
      </c>
      <c r="AA60" s="3">
        <v>74</v>
      </c>
      <c r="AK60" s="3"/>
      <c r="AM60" s="4"/>
      <c r="AO60" s="4"/>
      <c r="BA60" s="2"/>
      <c r="BB60" s="2"/>
      <c r="BD60" s="4"/>
      <c r="BF60" s="4"/>
      <c r="BM60" s="2"/>
      <c r="BO60" s="4"/>
      <c r="BQ60" s="4"/>
      <c r="CI60" s="2"/>
      <c r="CJ60" s="2"/>
      <c r="CN60" s="2"/>
      <c r="CQ60" s="2"/>
      <c r="CV60" s="4"/>
      <c r="CX60" s="4"/>
      <c r="CZ60" s="3"/>
      <c r="DB60" s="2"/>
      <c r="DC60" s="2"/>
      <c r="DD60" s="3"/>
      <c r="DE60" s="2"/>
      <c r="DF60" s="2"/>
      <c r="DV60" s="2"/>
      <c r="DW60" s="2"/>
      <c r="EF60" s="4"/>
      <c r="EH60" s="4"/>
      <c r="ER60" s="2"/>
      <c r="ES60" s="2"/>
      <c r="EX60" s="4"/>
      <c r="EZ60" s="4"/>
      <c r="FQ60" s="4"/>
      <c r="FS60" s="4"/>
      <c r="GE60" s="2"/>
      <c r="GJ60" s="4"/>
      <c r="GL60" s="4"/>
      <c r="GT60" s="3"/>
      <c r="GV60" s="2"/>
      <c r="GW60" s="3"/>
      <c r="GX60" s="3"/>
      <c r="HB60" s="3"/>
      <c r="HP60" s="2"/>
      <c r="HS60" s="4"/>
      <c r="HU60" s="4"/>
      <c r="II60" s="4"/>
      <c r="IK60" s="4"/>
      <c r="IS60" s="2"/>
      <c r="IT60" s="2"/>
      <c r="IV60" s="2"/>
      <c r="IW60" s="4"/>
      <c r="JH60" s="2"/>
      <c r="JK60" s="4"/>
      <c r="JM60" s="4"/>
      <c r="JZ60" s="2"/>
      <c r="KD60" s="4"/>
      <c r="KF60" s="4"/>
      <c r="KJ60" s="4"/>
      <c r="KT60" s="2"/>
      <c r="KU60" s="2"/>
      <c r="KW60" s="2"/>
      <c r="LC60" s="2"/>
      <c r="LF60" s="2"/>
      <c r="LK60" s="2"/>
      <c r="LT60" s="4"/>
      <c r="LV60" s="4"/>
      <c r="ME60" s="3"/>
      <c r="NB60" s="2"/>
      <c r="NC60" s="2"/>
      <c r="NJ60" s="2"/>
      <c r="NN60" s="2"/>
      <c r="NO60" s="2"/>
      <c r="NT60" s="4"/>
      <c r="NV60" s="4"/>
      <c r="OA60" s="2"/>
      <c r="OB60" s="2"/>
      <c r="OK60" s="3"/>
      <c r="ON60" s="2"/>
      <c r="OR60" s="4"/>
      <c r="OT60" s="4"/>
      <c r="PD60" s="2"/>
      <c r="PH60" s="2"/>
      <c r="PQ60" s="2"/>
      <c r="PX60" s="2"/>
      <c r="PZ60" s="2"/>
      <c r="QF60" s="4"/>
      <c r="QH60" s="4"/>
      <c r="QZ60" s="2"/>
      <c r="RN60" s="4"/>
      <c r="RO60" s="4"/>
      <c r="RR60" s="2"/>
      <c r="RT60" s="2"/>
      <c r="RU60" s="2"/>
      <c r="SA60" s="4"/>
      <c r="SC60" s="4"/>
      <c r="SN60" s="2"/>
      <c r="SQ60" s="4"/>
      <c r="SS60" s="4"/>
      <c r="TG60" s="2"/>
      <c r="TH60" s="2"/>
      <c r="TI60" s="2"/>
      <c r="TP60" s="3"/>
      <c r="TU60" s="4"/>
      <c r="TW60" s="4"/>
    </row>
    <row r="61" spans="1:543">
      <c r="A61">
        <v>4488</v>
      </c>
      <c r="B61">
        <v>8899</v>
      </c>
      <c r="C61">
        <v>1100644068</v>
      </c>
      <c r="D61" t="s">
        <v>91</v>
      </c>
      <c r="E61" t="s">
        <v>342</v>
      </c>
      <c r="F61" t="s">
        <v>343</v>
      </c>
      <c r="G61" s="2">
        <v>29525</v>
      </c>
      <c r="H61" t="s">
        <v>43</v>
      </c>
      <c r="I61" t="s">
        <v>130</v>
      </c>
      <c r="J61" t="s">
        <v>32</v>
      </c>
      <c r="K61" t="s">
        <v>344</v>
      </c>
      <c r="L61" t="s">
        <v>77</v>
      </c>
      <c r="N61" t="s">
        <v>345</v>
      </c>
      <c r="O61" s="2">
        <f>DATE(YEAR(G61) + P61, MONTH(G61), DAY(G61))</f>
        <v>52535</v>
      </c>
      <c r="P61">
        <v>63</v>
      </c>
      <c r="Q61" s="2">
        <v>45602</v>
      </c>
      <c r="R61" t="s">
        <v>36</v>
      </c>
      <c r="S61" t="s">
        <v>181</v>
      </c>
      <c r="T61" s="2">
        <v>25899</v>
      </c>
      <c r="U61" t="s">
        <v>103</v>
      </c>
      <c r="V61" t="s">
        <v>66</v>
      </c>
      <c r="W61">
        <v>25</v>
      </c>
      <c r="X61" s="1">
        <v>59824</v>
      </c>
      <c r="Y61" s="1">
        <v>11964.800000000001</v>
      </c>
      <c r="Z61" s="1">
        <v>47859.199999999997</v>
      </c>
      <c r="AA61" s="3">
        <v>41</v>
      </c>
      <c r="AK61" s="3"/>
      <c r="AM61" s="4"/>
      <c r="AO61" s="4"/>
      <c r="BA61" s="2"/>
      <c r="BB61" s="2"/>
      <c r="BD61" s="4"/>
      <c r="BF61" s="4"/>
      <c r="BM61" s="2"/>
      <c r="BO61" s="4"/>
      <c r="BQ61" s="4"/>
      <c r="CI61" s="2"/>
      <c r="CJ61" s="2"/>
      <c r="CL61" s="3"/>
      <c r="CN61" s="2"/>
      <c r="CQ61" s="2"/>
      <c r="CV61" s="4"/>
      <c r="DB61" s="2"/>
      <c r="DC61" s="2"/>
      <c r="DE61" s="2"/>
      <c r="DF61" s="2"/>
      <c r="DV61" s="2"/>
      <c r="DW61" s="2"/>
      <c r="EF61" s="4"/>
      <c r="EH61" s="4"/>
      <c r="ER61" s="2"/>
      <c r="ES61" s="2"/>
      <c r="EX61" s="4"/>
      <c r="FQ61" s="4"/>
      <c r="GG61" s="3"/>
      <c r="GJ61" s="4"/>
      <c r="GL61" s="4"/>
      <c r="GR61" s="2"/>
      <c r="GS61" s="3"/>
      <c r="GT61" s="3"/>
      <c r="GV61" s="2"/>
      <c r="GX61" s="3"/>
      <c r="HB61" s="3"/>
      <c r="HP61" s="2"/>
      <c r="HS61" s="4"/>
      <c r="HU61" s="4"/>
      <c r="II61" s="4"/>
      <c r="IK61" s="4"/>
      <c r="IS61" s="2"/>
      <c r="IT61" s="2"/>
      <c r="IW61" s="4"/>
      <c r="IY61" s="4"/>
      <c r="JH61" s="2"/>
      <c r="JK61" s="4"/>
      <c r="JM61" s="4"/>
      <c r="JZ61" s="2"/>
      <c r="KD61" s="4"/>
      <c r="KF61" s="4"/>
      <c r="KJ61" s="4"/>
      <c r="KU61" s="2"/>
      <c r="KW61" s="2"/>
      <c r="LC61" s="2"/>
      <c r="LF61" s="2"/>
      <c r="LK61" s="2"/>
      <c r="LT61" s="4"/>
      <c r="LV61" s="4"/>
      <c r="ME61" s="3"/>
      <c r="NB61" s="2"/>
      <c r="NC61" s="2"/>
      <c r="NG61" s="5"/>
      <c r="NJ61" s="2"/>
      <c r="NN61" s="2"/>
      <c r="NO61" s="2"/>
      <c r="NT61" s="4"/>
      <c r="OA61" s="2"/>
      <c r="OB61" s="2"/>
      <c r="ON61" s="2"/>
      <c r="OR61" s="4"/>
      <c r="OT61" s="4"/>
      <c r="PD61" s="2"/>
      <c r="PH61" s="2"/>
      <c r="PX61" s="2"/>
      <c r="PZ61" s="2"/>
      <c r="QF61" s="4"/>
      <c r="QH61" s="4"/>
      <c r="QZ61" s="2"/>
      <c r="RA61" s="2"/>
      <c r="RN61" s="4"/>
      <c r="RO61" s="4"/>
      <c r="RR61" s="2"/>
      <c r="SA61" s="4"/>
      <c r="SC61" s="4"/>
      <c r="SM61" s="3"/>
      <c r="SN61" s="2"/>
      <c r="SQ61" s="4"/>
      <c r="SS61" s="4"/>
      <c r="TG61" s="2"/>
      <c r="TH61" s="2"/>
      <c r="TI61" s="2"/>
      <c r="TU61" s="4"/>
      <c r="TW61" s="4"/>
    </row>
    <row r="62" spans="1:543">
      <c r="A62">
        <v>6206</v>
      </c>
      <c r="B62">
        <v>2409</v>
      </c>
      <c r="C62">
        <v>5668437764</v>
      </c>
      <c r="D62" t="s">
        <v>316</v>
      </c>
      <c r="E62" t="s">
        <v>346</v>
      </c>
      <c r="F62" t="s">
        <v>347</v>
      </c>
      <c r="G62" s="2">
        <v>35989</v>
      </c>
      <c r="H62" t="s">
        <v>43</v>
      </c>
      <c r="I62" t="s">
        <v>124</v>
      </c>
      <c r="J62" t="s">
        <v>32</v>
      </c>
      <c r="K62" t="s">
        <v>348</v>
      </c>
      <c r="L62" t="s">
        <v>95</v>
      </c>
      <c r="M62" s="2"/>
      <c r="N62" t="s">
        <v>349</v>
      </c>
      <c r="O62" s="2">
        <f>DATE(YEAR(G62) + P62, MONTH(G62), DAY(G62))</f>
        <v>57904</v>
      </c>
      <c r="P62">
        <v>60</v>
      </c>
      <c r="Q62" s="2"/>
      <c r="R62" t="s">
        <v>47</v>
      </c>
      <c r="S62" t="s">
        <v>64</v>
      </c>
      <c r="T62" s="2">
        <v>32477</v>
      </c>
      <c r="U62" t="s">
        <v>65</v>
      </c>
      <c r="V62" t="s">
        <v>56</v>
      </c>
      <c r="W62">
        <v>19</v>
      </c>
      <c r="X62" s="1">
        <v>25710</v>
      </c>
      <c r="Y62" s="1">
        <v>5142</v>
      </c>
      <c r="Z62" s="1">
        <v>20568</v>
      </c>
      <c r="AA62" s="3">
        <v>418</v>
      </c>
      <c r="AK62" s="3"/>
      <c r="AM62" s="4"/>
      <c r="AO62" s="4"/>
      <c r="BB62" s="2"/>
      <c r="BD62" s="4"/>
      <c r="BF62" s="4"/>
      <c r="BM62" s="2"/>
      <c r="BO62" s="4"/>
      <c r="BQ62" s="4"/>
      <c r="CI62" s="2"/>
      <c r="CJ62" s="2"/>
      <c r="CN62" s="2"/>
      <c r="CQ62" s="2"/>
      <c r="CV62" s="4"/>
      <c r="DB62" s="2"/>
      <c r="DC62" s="2"/>
      <c r="DE62" s="2"/>
      <c r="DV62" s="2"/>
      <c r="EF62" s="4"/>
      <c r="EH62" s="4"/>
      <c r="ER62" s="2"/>
      <c r="ES62" s="2"/>
      <c r="EX62" s="4"/>
      <c r="EZ62" s="4"/>
      <c r="FQ62" s="4"/>
      <c r="FS62" s="4"/>
      <c r="GE62" s="2"/>
      <c r="GJ62" s="4"/>
      <c r="GL62" s="4"/>
      <c r="GR62" s="2"/>
      <c r="GS62" s="3"/>
      <c r="GU62" s="3"/>
      <c r="GV62" s="2"/>
      <c r="HB62" s="3"/>
      <c r="HP62" s="2"/>
      <c r="HS62" s="4"/>
      <c r="HU62" s="4"/>
      <c r="IF62" s="3"/>
      <c r="II62" s="4"/>
      <c r="IK62" s="4"/>
      <c r="IS62" s="2"/>
      <c r="IT62" s="2"/>
      <c r="IV62" s="2"/>
      <c r="IW62" s="4"/>
      <c r="IY62" s="4"/>
      <c r="JH62" s="2"/>
      <c r="JK62" s="4"/>
      <c r="JZ62" s="2"/>
      <c r="KA62" s="3"/>
      <c r="KD62" s="4"/>
      <c r="KF62" s="4"/>
      <c r="KJ62" s="4"/>
      <c r="KT62" s="2"/>
      <c r="KU62" s="2"/>
      <c r="KW62" s="2"/>
      <c r="LC62" s="2"/>
      <c r="LH62" s="3"/>
      <c r="LK62" s="2"/>
      <c r="LT62" s="4"/>
      <c r="LV62" s="4"/>
      <c r="NB62" s="2"/>
      <c r="NC62" s="2"/>
      <c r="NJ62" s="2"/>
      <c r="NN62" s="2"/>
      <c r="NO62" s="2"/>
      <c r="NT62" s="4"/>
      <c r="NV62" s="4"/>
      <c r="OA62" s="2"/>
      <c r="OB62" s="2"/>
      <c r="OJ62" s="3"/>
      <c r="ON62" s="2"/>
      <c r="OT62" s="4"/>
      <c r="PD62" s="2"/>
      <c r="PH62" s="2"/>
      <c r="PQ62" s="2"/>
      <c r="PX62" s="2"/>
      <c r="PZ62" s="2"/>
      <c r="QF62" s="4"/>
      <c r="QZ62" s="2"/>
      <c r="RA62" s="2"/>
      <c r="RO62" s="4"/>
      <c r="RR62" s="2"/>
      <c r="RT62" s="2"/>
      <c r="RU62" s="2"/>
      <c r="SA62" s="4"/>
      <c r="SC62" s="4"/>
      <c r="SS62" s="4"/>
      <c r="TG62" s="2"/>
      <c r="TH62" s="2"/>
      <c r="TI62" s="2"/>
      <c r="TU62" s="4"/>
      <c r="TW62" s="4"/>
    </row>
    <row r="63" spans="1:543">
      <c r="A63">
        <v>3297</v>
      </c>
      <c r="B63">
        <v>4586</v>
      </c>
      <c r="C63">
        <v>4674021008</v>
      </c>
      <c r="D63" t="s">
        <v>185</v>
      </c>
      <c r="E63" t="s">
        <v>350</v>
      </c>
      <c r="F63" t="s">
        <v>351</v>
      </c>
      <c r="G63" s="2">
        <v>40304</v>
      </c>
      <c r="H63" t="s">
        <v>30</v>
      </c>
      <c r="I63" t="s">
        <v>236</v>
      </c>
      <c r="J63" t="s">
        <v>61</v>
      </c>
      <c r="K63" t="s">
        <v>352</v>
      </c>
      <c r="L63" t="s">
        <v>34</v>
      </c>
      <c r="M63" s="2">
        <v>44182</v>
      </c>
      <c r="N63" t="s">
        <v>353</v>
      </c>
      <c r="O63" s="2">
        <f>DATE(YEAR(G63) + P63, MONTH(G63), DAY(G63))</f>
        <v>65872</v>
      </c>
      <c r="P63">
        <v>70</v>
      </c>
      <c r="Q63" s="2"/>
      <c r="R63" t="s">
        <v>47</v>
      </c>
      <c r="S63" t="s">
        <v>37</v>
      </c>
      <c r="T63" s="2">
        <v>25202</v>
      </c>
      <c r="U63" t="s">
        <v>38</v>
      </c>
      <c r="V63" t="s">
        <v>39</v>
      </c>
      <c r="W63">
        <v>18</v>
      </c>
      <c r="X63" s="1">
        <v>25342</v>
      </c>
      <c r="Y63" s="1">
        <v>5068.4000000000005</v>
      </c>
      <c r="Z63" s="1">
        <v>20273.599999999999</v>
      </c>
      <c r="AA63" s="3">
        <v>643</v>
      </c>
      <c r="AK63" s="3"/>
      <c r="AM63" s="4"/>
      <c r="AO63" s="4"/>
      <c r="BA63" s="2"/>
      <c r="BB63" s="2"/>
      <c r="BD63" s="4"/>
      <c r="BF63" s="4"/>
      <c r="BM63" s="2"/>
      <c r="BO63" s="4"/>
      <c r="BQ63" s="4"/>
      <c r="CI63" s="2"/>
      <c r="CJ63" s="2"/>
      <c r="CM63" s="3"/>
      <c r="CN63" s="2"/>
      <c r="CQ63" s="2"/>
      <c r="CV63" s="4"/>
      <c r="CX63" s="4"/>
      <c r="DB63" s="2"/>
      <c r="DC63" s="2"/>
      <c r="DE63" s="2"/>
      <c r="DF63" s="2"/>
      <c r="DV63" s="2"/>
      <c r="DW63" s="2"/>
      <c r="EH63" s="4"/>
      <c r="ER63" s="2"/>
      <c r="ES63" s="2"/>
      <c r="EX63" s="4"/>
      <c r="EZ63" s="4"/>
      <c r="FQ63" s="4"/>
      <c r="FS63" s="4"/>
      <c r="GE63" s="2"/>
      <c r="GG63" s="3"/>
      <c r="GJ63" s="4"/>
      <c r="GR63" s="2"/>
      <c r="GT63" s="3"/>
      <c r="GV63" s="2"/>
      <c r="HB63" s="3"/>
      <c r="HO63" s="3"/>
      <c r="HP63" s="2"/>
      <c r="HS63" s="4"/>
      <c r="HU63" s="4"/>
      <c r="IK63" s="4"/>
      <c r="IS63" s="2"/>
      <c r="IT63" s="2"/>
      <c r="IV63" s="2"/>
      <c r="IW63" s="4"/>
      <c r="IY63" s="4"/>
      <c r="JK63" s="4"/>
      <c r="JM63" s="4"/>
      <c r="JZ63" s="2"/>
      <c r="KD63" s="4"/>
      <c r="KF63" s="4"/>
      <c r="KJ63" s="4"/>
      <c r="KT63" s="2"/>
      <c r="KU63" s="2"/>
      <c r="KW63" s="2"/>
      <c r="LC63" s="2"/>
      <c r="LF63" s="2"/>
      <c r="LT63" s="4"/>
      <c r="LV63" s="4"/>
      <c r="ML63" s="3"/>
      <c r="NB63" s="2"/>
      <c r="NC63" s="2"/>
      <c r="NG63" s="5"/>
      <c r="NJ63" s="2"/>
      <c r="NN63" s="2"/>
      <c r="NO63" s="2"/>
      <c r="NT63" s="4"/>
      <c r="NV63" s="4"/>
      <c r="OA63" s="2"/>
      <c r="OB63" s="2"/>
      <c r="ON63" s="2"/>
      <c r="OO63" s="3"/>
      <c r="OT63" s="4"/>
      <c r="PD63" s="2"/>
      <c r="PH63" s="2"/>
      <c r="PN63" s="3"/>
      <c r="PQ63" s="2"/>
      <c r="PX63" s="2"/>
      <c r="PZ63" s="2"/>
      <c r="QF63" s="4"/>
      <c r="QH63" s="4"/>
      <c r="QZ63" s="2"/>
      <c r="RA63" s="2"/>
      <c r="RN63" s="4"/>
      <c r="RO63" s="4"/>
      <c r="RR63" s="2"/>
      <c r="RT63" s="2"/>
      <c r="RU63" s="2"/>
      <c r="SA63" s="4"/>
      <c r="SC63" s="4"/>
      <c r="SN63" s="2"/>
      <c r="SQ63" s="4"/>
      <c r="SS63" s="4"/>
      <c r="TG63" s="2"/>
      <c r="TH63" s="2"/>
      <c r="TI63" s="2"/>
      <c r="TU63" s="4"/>
      <c r="TW63" s="4"/>
    </row>
    <row r="64" spans="1:543">
      <c r="A64">
        <v>3660</v>
      </c>
      <c r="B64">
        <v>8074</v>
      </c>
      <c r="C64">
        <v>9472215946</v>
      </c>
      <c r="D64" t="s">
        <v>72</v>
      </c>
      <c r="E64" t="s">
        <v>354</v>
      </c>
      <c r="F64" t="s">
        <v>355</v>
      </c>
      <c r="G64" s="2">
        <v>38991</v>
      </c>
      <c r="H64" t="s">
        <v>43</v>
      </c>
      <c r="I64" t="s">
        <v>236</v>
      </c>
      <c r="J64" t="s">
        <v>61</v>
      </c>
      <c r="K64" t="s">
        <v>356</v>
      </c>
      <c r="L64" t="s">
        <v>77</v>
      </c>
      <c r="M64" s="2">
        <v>41380</v>
      </c>
      <c r="N64" t="s">
        <v>357</v>
      </c>
      <c r="O64" s="2">
        <f>DATE(YEAR(G64) + P64, MONTH(G64), DAY(G64))</f>
        <v>62732</v>
      </c>
      <c r="P64">
        <v>65</v>
      </c>
      <c r="Q64" s="2"/>
      <c r="R64" t="s">
        <v>47</v>
      </c>
      <c r="S64" t="s">
        <v>181</v>
      </c>
      <c r="T64" s="2">
        <v>41965</v>
      </c>
      <c r="U64" t="s">
        <v>133</v>
      </c>
      <c r="V64" t="s">
        <v>66</v>
      </c>
      <c r="W64">
        <v>1</v>
      </c>
      <c r="X64" s="1">
        <v>20710</v>
      </c>
      <c r="Y64" s="1">
        <v>4142</v>
      </c>
      <c r="Z64" s="1">
        <v>16568</v>
      </c>
      <c r="AA64" s="3">
        <v>626</v>
      </c>
      <c r="AK64" s="3"/>
      <c r="AM64" s="4"/>
      <c r="AO64" s="4"/>
      <c r="BA64" s="2"/>
      <c r="BD64" s="4"/>
      <c r="BF64" s="4"/>
      <c r="BM64" s="2"/>
      <c r="BO64" s="4"/>
      <c r="BQ64" s="4"/>
      <c r="CI64" s="2"/>
      <c r="CJ64" s="2"/>
      <c r="CN64" s="2"/>
      <c r="CQ64" s="2"/>
      <c r="CV64" s="4"/>
      <c r="CX64" s="4"/>
      <c r="DB64" s="2"/>
      <c r="DC64" s="2"/>
      <c r="DE64" s="2"/>
      <c r="DF64" s="2"/>
      <c r="DV64" s="2"/>
      <c r="DW64" s="2"/>
      <c r="EF64" s="4"/>
      <c r="EH64" s="4"/>
      <c r="ER64" s="2"/>
      <c r="ES64" s="2"/>
      <c r="EX64" s="4"/>
      <c r="EZ64" s="4"/>
      <c r="FQ64" s="4"/>
      <c r="FS64" s="4"/>
      <c r="GE64" s="2"/>
      <c r="GJ64" s="4"/>
      <c r="GL64" s="4"/>
      <c r="GR64" s="2"/>
      <c r="GT64" s="3"/>
      <c r="GU64" s="3"/>
      <c r="GV64" s="2"/>
      <c r="GX64" s="3"/>
      <c r="GY64" s="3"/>
      <c r="HB64" s="3"/>
      <c r="HP64" s="2"/>
      <c r="HS64" s="4"/>
      <c r="HU64" s="4"/>
      <c r="II64" s="4"/>
      <c r="IS64" s="2"/>
      <c r="IT64" s="2"/>
      <c r="IV64" s="2"/>
      <c r="IW64" s="4"/>
      <c r="JH64" s="2"/>
      <c r="JK64" s="4"/>
      <c r="JZ64" s="2"/>
      <c r="KD64" s="4"/>
      <c r="KF64" s="4"/>
      <c r="KJ64" s="4"/>
      <c r="KT64" s="2"/>
      <c r="KU64" s="2"/>
      <c r="KW64" s="2"/>
      <c r="LC64" s="2"/>
      <c r="LF64" s="2"/>
      <c r="LK64" s="2"/>
      <c r="LT64" s="4"/>
      <c r="LV64" s="4"/>
      <c r="MA64" s="3"/>
      <c r="MD64" s="3"/>
      <c r="MG64" s="3"/>
      <c r="NB64" s="2"/>
      <c r="NC64" s="2"/>
      <c r="NH64" s="3"/>
      <c r="NJ64" s="2"/>
      <c r="NN64" s="2"/>
      <c r="NT64" s="4"/>
      <c r="NV64" s="4"/>
      <c r="OA64" s="2"/>
      <c r="OB64" s="2"/>
      <c r="ON64" s="2"/>
      <c r="OR64" s="4"/>
      <c r="OT64" s="4"/>
      <c r="PD64" s="2"/>
      <c r="PH64" s="2"/>
      <c r="PQ64" s="2"/>
      <c r="PX64" s="2"/>
      <c r="PY64" s="3"/>
      <c r="PZ64" s="2"/>
      <c r="QF64" s="4"/>
      <c r="QH64" s="4"/>
      <c r="QZ64" s="2"/>
      <c r="RA64" s="2"/>
      <c r="RN64" s="4"/>
      <c r="RO64" s="4"/>
      <c r="RR64" s="2"/>
      <c r="RT64" s="2"/>
      <c r="RU64" s="2"/>
      <c r="SA64" s="4"/>
      <c r="SC64" s="4"/>
      <c r="SS64" s="4"/>
      <c r="TG64" s="2"/>
      <c r="TH64" s="2"/>
      <c r="TN64" s="3"/>
      <c r="TU64" s="4"/>
    </row>
    <row r="65" spans="1:543">
      <c r="A65">
        <v>9081</v>
      </c>
      <c r="B65">
        <v>8036</v>
      </c>
      <c r="C65">
        <v>3536070284</v>
      </c>
      <c r="D65" t="s">
        <v>121</v>
      </c>
      <c r="E65" t="s">
        <v>358</v>
      </c>
      <c r="F65" t="s">
        <v>359</v>
      </c>
      <c r="G65" s="2">
        <v>40342</v>
      </c>
      <c r="H65" t="s">
        <v>43</v>
      </c>
      <c r="I65" t="s">
        <v>148</v>
      </c>
      <c r="J65" t="s">
        <v>32</v>
      </c>
      <c r="K65" t="s">
        <v>360</v>
      </c>
      <c r="L65" t="s">
        <v>77</v>
      </c>
      <c r="M65" s="2"/>
      <c r="N65" t="s">
        <v>361</v>
      </c>
      <c r="O65" s="2">
        <f>DATE(YEAR(G65) + P65, MONTH(G65), DAY(G65))</f>
        <v>64449</v>
      </c>
      <c r="P65">
        <v>66</v>
      </c>
      <c r="Q65" s="2"/>
      <c r="R65" t="s">
        <v>47</v>
      </c>
      <c r="S65" t="s">
        <v>64</v>
      </c>
      <c r="T65" s="2">
        <v>36738</v>
      </c>
      <c r="U65" t="s">
        <v>133</v>
      </c>
      <c r="V65" t="s">
        <v>66</v>
      </c>
      <c r="W65">
        <v>4</v>
      </c>
      <c r="X65" s="1">
        <v>4312</v>
      </c>
      <c r="Y65" s="1">
        <v>862.40000000000009</v>
      </c>
      <c r="Z65" s="1">
        <v>3449.6</v>
      </c>
      <c r="AA65" s="3">
        <v>94</v>
      </c>
      <c r="AK65" s="3"/>
      <c r="AM65" s="4"/>
      <c r="AO65" s="4"/>
      <c r="BA65" s="2"/>
      <c r="BD65" s="4"/>
      <c r="BF65" s="4"/>
      <c r="BM65" s="2"/>
      <c r="BO65" s="4"/>
      <c r="BQ65" s="4"/>
      <c r="CI65" s="2"/>
      <c r="CJ65" s="2"/>
      <c r="CL65" s="3"/>
      <c r="CN65" s="2"/>
      <c r="CQ65" s="2"/>
      <c r="CV65" s="4"/>
      <c r="CX65" s="4"/>
      <c r="DB65" s="2"/>
      <c r="DC65" s="2"/>
      <c r="DE65" s="2"/>
      <c r="DF65" s="2"/>
      <c r="DG65" s="3"/>
      <c r="DV65" s="2"/>
      <c r="DW65" s="2"/>
      <c r="EF65" s="4"/>
      <c r="EH65" s="4"/>
      <c r="ER65" s="2"/>
      <c r="ES65" s="2"/>
      <c r="EX65" s="4"/>
      <c r="EZ65" s="4"/>
      <c r="FQ65" s="4"/>
      <c r="FS65" s="4"/>
      <c r="GE65" s="2"/>
      <c r="GJ65" s="4"/>
      <c r="GL65" s="4"/>
      <c r="GR65" s="2"/>
      <c r="GS65" s="3"/>
      <c r="GT65" s="3"/>
      <c r="GU65" s="3"/>
      <c r="GV65" s="2"/>
      <c r="GY65" s="3"/>
      <c r="HB65" s="3"/>
      <c r="HP65" s="2"/>
      <c r="HS65" s="4"/>
      <c r="HU65" s="4"/>
      <c r="II65" s="4"/>
      <c r="IK65" s="4"/>
      <c r="IS65" s="2"/>
      <c r="IT65" s="2"/>
      <c r="IV65" s="2"/>
      <c r="IW65" s="4"/>
      <c r="JH65" s="2"/>
      <c r="JK65" s="4"/>
      <c r="JM65" s="4"/>
      <c r="JZ65" s="2"/>
      <c r="KD65" s="4"/>
      <c r="KF65" s="4"/>
      <c r="KJ65" s="4"/>
      <c r="KT65" s="2"/>
      <c r="KU65" s="2"/>
      <c r="KW65" s="2"/>
      <c r="LC65" s="2"/>
      <c r="LF65" s="2"/>
      <c r="LK65" s="2"/>
      <c r="LT65" s="4"/>
      <c r="LV65" s="4"/>
      <c r="NB65" s="2"/>
      <c r="NC65" s="2"/>
      <c r="NJ65" s="2"/>
      <c r="NN65" s="2"/>
      <c r="NO65" s="2"/>
      <c r="NT65" s="4"/>
      <c r="OA65" s="2"/>
      <c r="OB65" s="2"/>
      <c r="ON65" s="2"/>
      <c r="OR65" s="4"/>
      <c r="OT65" s="4"/>
      <c r="PD65" s="2"/>
      <c r="PH65" s="2"/>
      <c r="PI65" s="3"/>
      <c r="PQ65" s="2"/>
      <c r="PX65" s="2"/>
      <c r="PZ65" s="2"/>
      <c r="QF65" s="4"/>
      <c r="QH65" s="4"/>
      <c r="QZ65" s="2"/>
      <c r="RA65" s="2"/>
      <c r="RM65" s="3"/>
      <c r="RN65" s="4"/>
      <c r="RR65" s="2"/>
      <c r="RT65" s="2"/>
      <c r="RU65" s="2"/>
      <c r="SA65" s="4"/>
      <c r="SC65" s="4"/>
      <c r="SN65" s="2"/>
      <c r="SQ65" s="4"/>
      <c r="SS65" s="4"/>
      <c r="TG65" s="2"/>
      <c r="TH65" s="2"/>
      <c r="TI65" s="2"/>
      <c r="TU65" s="4"/>
      <c r="TW65" s="4"/>
    </row>
    <row r="66" spans="1:543">
      <c r="A66">
        <v>998</v>
      </c>
      <c r="B66">
        <v>3126</v>
      </c>
      <c r="C66" s="3" t="s">
        <v>362</v>
      </c>
      <c r="D66" t="s">
        <v>363</v>
      </c>
      <c r="E66" t="s">
        <v>364</v>
      </c>
      <c r="F66" t="s">
        <v>365</v>
      </c>
      <c r="G66" s="2">
        <v>40156</v>
      </c>
      <c r="H66" t="s">
        <v>43</v>
      </c>
      <c r="I66" t="s">
        <v>148</v>
      </c>
      <c r="J66" t="s">
        <v>32</v>
      </c>
      <c r="K66" t="s">
        <v>366</v>
      </c>
      <c r="L66" t="s">
        <v>95</v>
      </c>
      <c r="M66" s="2"/>
      <c r="N66" t="s">
        <v>367</v>
      </c>
      <c r="O66" s="2">
        <f>DATE(YEAR(G66) + P66, MONTH(G66), DAY(G66))</f>
        <v>62071</v>
      </c>
      <c r="P66">
        <v>60</v>
      </c>
      <c r="Q66" s="2"/>
      <c r="R66" t="s">
        <v>47</v>
      </c>
      <c r="S66" t="s">
        <v>102</v>
      </c>
      <c r="T66" s="2">
        <v>39485</v>
      </c>
      <c r="U66" t="s">
        <v>38</v>
      </c>
      <c r="V66" t="s">
        <v>38</v>
      </c>
      <c r="W66">
        <v>6</v>
      </c>
      <c r="X66" s="1">
        <v>89548</v>
      </c>
      <c r="Y66" s="1">
        <v>17909.600000000002</v>
      </c>
      <c r="Z66" s="1">
        <v>71638.399999999994</v>
      </c>
      <c r="AA66" s="3">
        <v>48</v>
      </c>
      <c r="AK66" s="3"/>
      <c r="AM66" s="4"/>
      <c r="AO66" s="4"/>
      <c r="BA66" s="2"/>
      <c r="BD66" s="4"/>
      <c r="BF66" s="4"/>
      <c r="BM66" s="2"/>
      <c r="BO66" s="4"/>
      <c r="BQ66" s="4"/>
      <c r="CI66" s="2"/>
      <c r="CJ66" s="2"/>
      <c r="CP66" s="3"/>
      <c r="CQ66" s="2"/>
      <c r="CV66" s="4"/>
      <c r="CX66" s="4"/>
      <c r="DB66" s="2"/>
      <c r="DC66" s="2"/>
      <c r="DE66" s="2"/>
      <c r="DF66" s="2"/>
      <c r="DV66" s="2"/>
      <c r="DW66" s="2"/>
      <c r="EF66" s="4"/>
      <c r="EH66" s="4"/>
      <c r="ER66" s="2"/>
      <c r="ES66" s="2"/>
      <c r="EX66" s="4"/>
      <c r="EZ66" s="4"/>
      <c r="FQ66" s="4"/>
      <c r="FS66" s="4"/>
      <c r="GE66" s="2"/>
      <c r="GJ66" s="4"/>
      <c r="GL66" s="4"/>
      <c r="GR66" s="2"/>
      <c r="GS66" s="3"/>
      <c r="GV66" s="2"/>
      <c r="GX66" s="3"/>
      <c r="HO66" s="3"/>
      <c r="HP66" s="2"/>
      <c r="HS66" s="4"/>
      <c r="HU66" s="4"/>
      <c r="II66" s="4"/>
      <c r="IK66" s="4"/>
      <c r="IS66" s="2"/>
      <c r="IT66" s="2"/>
      <c r="IV66" s="2"/>
      <c r="IW66" s="4"/>
      <c r="IY66" s="4"/>
      <c r="JH66" s="2"/>
      <c r="JK66" s="4"/>
      <c r="JM66" s="4"/>
      <c r="JZ66" s="2"/>
      <c r="KD66" s="4"/>
      <c r="KF66" s="4"/>
      <c r="KJ66" s="4"/>
      <c r="KT66" s="2"/>
      <c r="KU66" s="2"/>
      <c r="LC66" s="2"/>
      <c r="LF66" s="2"/>
      <c r="LK66" s="2"/>
      <c r="LT66" s="4"/>
      <c r="LV66" s="4"/>
      <c r="NC66" s="2"/>
      <c r="NJ66" s="2"/>
      <c r="NN66" s="2"/>
      <c r="NO66" s="2"/>
      <c r="NT66" s="4"/>
      <c r="NV66" s="4"/>
      <c r="OA66" s="2"/>
      <c r="OB66" s="2"/>
      <c r="ON66" s="2"/>
      <c r="OO66" s="3"/>
      <c r="OR66" s="4"/>
      <c r="OT66" s="4"/>
      <c r="PD66" s="2"/>
      <c r="PH66" s="2"/>
      <c r="PQ66" s="2"/>
      <c r="PX66" s="2"/>
      <c r="PZ66" s="2"/>
      <c r="QF66" s="4"/>
      <c r="QH66" s="4"/>
      <c r="QZ66" s="2"/>
      <c r="RA66" s="2"/>
      <c r="RN66" s="4"/>
      <c r="RO66" s="4"/>
      <c r="RR66" s="2"/>
      <c r="RT66" s="2"/>
      <c r="RU66" s="2"/>
      <c r="SA66" s="4"/>
      <c r="SC66" s="4"/>
      <c r="SM66" s="3"/>
      <c r="SN66" s="2"/>
      <c r="SQ66" s="4"/>
      <c r="SS66" s="4"/>
      <c r="TG66" s="2"/>
      <c r="TH66" s="2"/>
      <c r="TI66" s="2"/>
      <c r="TU66" s="4"/>
      <c r="TW66" s="4"/>
    </row>
    <row r="67" spans="1:543">
      <c r="A67">
        <v>2872</v>
      </c>
      <c r="B67">
        <v>7911</v>
      </c>
      <c r="C67" s="3" t="s">
        <v>368</v>
      </c>
      <c r="D67" t="s">
        <v>67</v>
      </c>
      <c r="E67" t="s">
        <v>369</v>
      </c>
      <c r="F67" t="s">
        <v>370</v>
      </c>
      <c r="G67" s="2">
        <v>40510</v>
      </c>
      <c r="H67" t="s">
        <v>30</v>
      </c>
      <c r="I67" t="s">
        <v>279</v>
      </c>
      <c r="J67" t="s">
        <v>32</v>
      </c>
      <c r="K67" t="s">
        <v>371</v>
      </c>
      <c r="L67" t="s">
        <v>77</v>
      </c>
      <c r="M67" s="2"/>
      <c r="N67" t="s">
        <v>372</v>
      </c>
      <c r="O67" s="2">
        <f>DATE(YEAR(G67) + P67, MONTH(G67), DAY(G67))</f>
        <v>63156</v>
      </c>
      <c r="P67">
        <v>62</v>
      </c>
      <c r="Q67" s="2"/>
      <c r="R67" t="s">
        <v>47</v>
      </c>
      <c r="S67" t="s">
        <v>109</v>
      </c>
      <c r="T67" s="2">
        <v>44074</v>
      </c>
      <c r="U67" t="s">
        <v>65</v>
      </c>
      <c r="V67" t="s">
        <v>66</v>
      </c>
      <c r="W67">
        <v>24</v>
      </c>
      <c r="X67" s="1">
        <v>69439</v>
      </c>
      <c r="Y67" s="1">
        <v>13887.800000000001</v>
      </c>
      <c r="Z67" s="1">
        <v>55551.199999999997</v>
      </c>
      <c r="AA67" s="3">
        <v>729</v>
      </c>
      <c r="AK67" s="3"/>
      <c r="AM67" s="4"/>
      <c r="AO67" s="4"/>
      <c r="BA67" s="2"/>
      <c r="BB67" s="2"/>
      <c r="BD67" s="4"/>
      <c r="BF67" s="4"/>
      <c r="BM67" s="2"/>
      <c r="BO67" s="4"/>
      <c r="BQ67" s="4"/>
      <c r="CI67" s="2"/>
      <c r="CJ67" s="2"/>
      <c r="CN67" s="2"/>
      <c r="CQ67" s="2"/>
      <c r="CV67" s="4"/>
      <c r="CX67" s="4"/>
      <c r="DB67" s="2"/>
      <c r="DC67" s="2"/>
      <c r="DE67" s="2"/>
      <c r="DF67" s="2"/>
      <c r="DV67" s="2"/>
      <c r="DW67" s="2"/>
      <c r="EF67" s="4"/>
      <c r="EH67" s="4"/>
      <c r="EV67" s="3"/>
      <c r="EX67" s="4"/>
      <c r="EZ67" s="4"/>
      <c r="FQ67" s="4"/>
      <c r="FS67" s="4"/>
      <c r="GE67" s="2"/>
      <c r="GJ67" s="4"/>
      <c r="GL67" s="4"/>
      <c r="GR67" s="2"/>
      <c r="GT67" s="3"/>
      <c r="GU67" s="3"/>
      <c r="GV67" s="2"/>
      <c r="GW67" s="3"/>
      <c r="HB67" s="3"/>
      <c r="HO67" s="3"/>
      <c r="HP67" s="2"/>
      <c r="HS67" s="4"/>
      <c r="HU67" s="4"/>
      <c r="II67" s="4"/>
      <c r="IK67" s="4"/>
      <c r="IS67" s="2"/>
      <c r="IT67" s="2"/>
      <c r="IV67" s="2"/>
      <c r="IW67" s="4"/>
      <c r="IY67" s="4"/>
      <c r="JH67" s="2"/>
      <c r="JK67" s="4"/>
      <c r="JM67" s="4"/>
      <c r="JZ67" s="2"/>
      <c r="KD67" s="4"/>
      <c r="KF67" s="4"/>
      <c r="KJ67" s="4"/>
      <c r="KT67" s="2"/>
      <c r="KU67" s="2"/>
      <c r="KW67" s="2"/>
      <c r="LC67" s="2"/>
      <c r="LF67" s="2"/>
      <c r="LK67" s="2"/>
      <c r="LT67" s="4"/>
      <c r="LV67" s="4"/>
      <c r="NC67" s="2"/>
      <c r="NJ67" s="2"/>
      <c r="NN67" s="2"/>
      <c r="NO67" s="2"/>
      <c r="NT67" s="4"/>
      <c r="NV67" s="4"/>
      <c r="OA67" s="2"/>
      <c r="OB67" s="2"/>
      <c r="ON67" s="2"/>
      <c r="OR67" s="4"/>
      <c r="OT67" s="4"/>
      <c r="PD67" s="2"/>
      <c r="PH67" s="2"/>
      <c r="PP67" s="3"/>
      <c r="PQ67" s="2"/>
      <c r="PX67" s="2"/>
      <c r="PZ67" s="2"/>
      <c r="QF67" s="4"/>
      <c r="QH67" s="4"/>
      <c r="QX67" s="3"/>
      <c r="QZ67" s="2"/>
      <c r="RA67" s="2"/>
      <c r="RN67" s="4"/>
      <c r="RO67" s="4"/>
      <c r="RR67" s="2"/>
      <c r="RT67" s="2"/>
      <c r="RU67" s="2"/>
      <c r="SA67" s="4"/>
      <c r="SC67" s="4"/>
      <c r="SN67" s="2"/>
      <c r="SQ67" s="4"/>
      <c r="SS67" s="4"/>
      <c r="TG67" s="2"/>
      <c r="TH67" s="2"/>
      <c r="TI67" s="2"/>
      <c r="TP67" s="3"/>
      <c r="TU67" s="4"/>
      <c r="TW67" s="4"/>
    </row>
    <row r="68" spans="1:543">
      <c r="A68">
        <v>6236</v>
      </c>
      <c r="B68">
        <v>4412</v>
      </c>
      <c r="C68">
        <v>3125840891</v>
      </c>
      <c r="D68" t="s">
        <v>104</v>
      </c>
      <c r="E68" t="s">
        <v>373</v>
      </c>
      <c r="F68" t="s">
        <v>374</v>
      </c>
      <c r="G68" s="2">
        <v>37803</v>
      </c>
      <c r="H68" t="s">
        <v>43</v>
      </c>
      <c r="I68" t="s">
        <v>44</v>
      </c>
      <c r="J68" t="s">
        <v>32</v>
      </c>
      <c r="K68" t="s">
        <v>375</v>
      </c>
      <c r="L68" t="s">
        <v>95</v>
      </c>
      <c r="M68" s="2"/>
      <c r="N68" t="s">
        <v>376</v>
      </c>
      <c r="O68" s="2">
        <f>DATE(YEAR(G68) + P68, MONTH(G68), DAY(G68))</f>
        <v>60814</v>
      </c>
      <c r="P68">
        <v>63</v>
      </c>
      <c r="Q68" s="2"/>
      <c r="R68" t="s">
        <v>47</v>
      </c>
      <c r="S68" t="s">
        <v>181</v>
      </c>
      <c r="T68" s="2">
        <v>45274</v>
      </c>
      <c r="U68" t="s">
        <v>49</v>
      </c>
      <c r="V68" t="s">
        <v>66</v>
      </c>
      <c r="W68">
        <v>20</v>
      </c>
      <c r="X68" s="1">
        <v>67795</v>
      </c>
      <c r="Y68" s="1">
        <v>13559</v>
      </c>
      <c r="Z68" s="1">
        <v>54236</v>
      </c>
      <c r="AA68" s="3">
        <v>254</v>
      </c>
      <c r="AK68" s="3"/>
      <c r="AM68" s="4"/>
      <c r="AO68" s="4"/>
      <c r="BA68" s="2"/>
      <c r="BB68" s="2"/>
      <c r="BD68" s="4"/>
      <c r="BF68" s="4"/>
      <c r="BM68" s="2"/>
      <c r="BQ68" s="4"/>
      <c r="CI68" s="2"/>
      <c r="CJ68" s="2"/>
      <c r="CN68" s="2"/>
      <c r="CQ68" s="2"/>
      <c r="CV68" s="4"/>
      <c r="CX68" s="4"/>
      <c r="DB68" s="2"/>
      <c r="DC68" s="2"/>
      <c r="DE68" s="2"/>
      <c r="DF68" s="2"/>
      <c r="DV68" s="2"/>
      <c r="DW68" s="2"/>
      <c r="EF68" s="4"/>
      <c r="EH68" s="4"/>
      <c r="ER68" s="2"/>
      <c r="ES68" s="2"/>
      <c r="EX68" s="4"/>
      <c r="EZ68" s="4"/>
      <c r="FQ68" s="4"/>
      <c r="FS68" s="4"/>
      <c r="GE68" s="2"/>
      <c r="GJ68" s="4"/>
      <c r="GR68" s="2"/>
      <c r="GS68" s="3"/>
      <c r="GU68" s="3"/>
      <c r="GV68" s="2"/>
      <c r="HB68" s="3"/>
      <c r="HP68" s="2"/>
      <c r="HS68" s="4"/>
      <c r="HU68" s="4"/>
      <c r="II68" s="4"/>
      <c r="IK68" s="4"/>
      <c r="IS68" s="2"/>
      <c r="IV68" s="2"/>
      <c r="IW68" s="4"/>
      <c r="IY68" s="4"/>
      <c r="JH68" s="2"/>
      <c r="JK68" s="4"/>
      <c r="JM68" s="4"/>
      <c r="JZ68" s="2"/>
      <c r="KA68" s="3"/>
      <c r="KD68" s="4"/>
      <c r="KF68" s="4"/>
      <c r="KJ68" s="4"/>
      <c r="KT68" s="2"/>
      <c r="KU68" s="2"/>
      <c r="KW68" s="2"/>
      <c r="LC68" s="2"/>
      <c r="LF68" s="2"/>
      <c r="LK68" s="2"/>
      <c r="LT68" s="4"/>
      <c r="LV68" s="4"/>
      <c r="NB68" s="2"/>
      <c r="NC68" s="2"/>
      <c r="NJ68" s="2"/>
      <c r="NN68" s="2"/>
      <c r="NO68" s="2"/>
      <c r="NT68" s="4"/>
      <c r="NV68" s="4"/>
      <c r="OA68" s="2"/>
      <c r="OB68" s="2"/>
      <c r="ON68" s="2"/>
      <c r="OR68" s="4"/>
      <c r="OT68" s="4"/>
      <c r="PD68" s="2"/>
      <c r="PH68" s="2"/>
      <c r="PQ68" s="2"/>
      <c r="PX68" s="2"/>
      <c r="PZ68" s="2"/>
      <c r="QF68" s="4"/>
      <c r="QH68" s="4"/>
      <c r="QZ68" s="2"/>
      <c r="RA68" s="2"/>
      <c r="RM68" s="3"/>
      <c r="RN68" s="4"/>
      <c r="RO68" s="4"/>
      <c r="RR68" s="2"/>
      <c r="RT68" s="2"/>
      <c r="RU68" s="2"/>
      <c r="SC68" s="4"/>
      <c r="SN68" s="2"/>
      <c r="SQ68" s="4"/>
      <c r="SS68" s="4"/>
      <c r="TG68" s="2"/>
      <c r="TH68" s="2"/>
      <c r="TI68" s="2"/>
      <c r="TU68" s="4"/>
      <c r="TW68" s="4"/>
    </row>
    <row r="69" spans="1:543">
      <c r="A69">
        <v>1853</v>
      </c>
      <c r="B69">
        <v>6289</v>
      </c>
      <c r="C69">
        <v>1089052926</v>
      </c>
      <c r="D69" t="s">
        <v>272</v>
      </c>
      <c r="E69" t="s">
        <v>377</v>
      </c>
      <c r="F69" t="s">
        <v>378</v>
      </c>
      <c r="G69" s="2" t="s">
        <v>379</v>
      </c>
      <c r="H69" t="s">
        <v>43</v>
      </c>
      <c r="I69" t="s">
        <v>130</v>
      </c>
      <c r="J69" t="s">
        <v>32</v>
      </c>
      <c r="K69" t="s">
        <v>380</v>
      </c>
      <c r="L69" t="s">
        <v>34</v>
      </c>
      <c r="M69" s="2"/>
      <c r="N69" t="s">
        <v>381</v>
      </c>
      <c r="O69" s="2">
        <v>60833</v>
      </c>
      <c r="P69">
        <v>64</v>
      </c>
      <c r="Q69" s="2"/>
      <c r="R69" t="s">
        <v>47</v>
      </c>
      <c r="S69" t="s">
        <v>48</v>
      </c>
      <c r="T69" t="s">
        <v>382</v>
      </c>
      <c r="U69" t="s">
        <v>49</v>
      </c>
      <c r="V69" t="s">
        <v>66</v>
      </c>
      <c r="W69">
        <v>12</v>
      </c>
      <c r="X69" s="1">
        <v>23016</v>
      </c>
      <c r="Y69" s="1">
        <v>4603.2</v>
      </c>
      <c r="Z69" s="1">
        <v>18412.8</v>
      </c>
      <c r="AA69" s="3">
        <v>720</v>
      </c>
      <c r="AK69" s="3"/>
      <c r="AM69" s="4"/>
      <c r="AO69" s="4"/>
      <c r="BA69" s="2"/>
      <c r="BD69" s="4"/>
      <c r="BM69" s="2"/>
      <c r="BO69" s="4"/>
      <c r="CI69" s="2"/>
      <c r="CJ69" s="2"/>
      <c r="CN69" s="2"/>
      <c r="CQ69" s="2"/>
      <c r="CV69" s="4"/>
      <c r="CX69" s="4"/>
      <c r="DA69" s="3"/>
      <c r="DB69" s="2"/>
      <c r="DC69" s="2"/>
      <c r="DE69" s="2"/>
      <c r="DV69" s="2"/>
      <c r="DW69" s="2"/>
      <c r="DX69" s="3"/>
      <c r="EC69" s="3"/>
      <c r="EF69" s="4"/>
      <c r="EH69" s="4"/>
      <c r="ER69" s="2"/>
      <c r="ES69" s="2"/>
      <c r="EX69" s="4"/>
      <c r="EZ69" s="4"/>
      <c r="FQ69" s="4"/>
      <c r="FS69" s="4"/>
      <c r="GE69" s="2"/>
      <c r="GJ69" s="4"/>
      <c r="GL69" s="4"/>
      <c r="GR69" s="2"/>
      <c r="GV69" s="2"/>
      <c r="GW69" s="3"/>
      <c r="GX69" s="3"/>
      <c r="HB69" s="3"/>
      <c r="HP69" s="2"/>
      <c r="HU69" s="4"/>
      <c r="II69" s="4"/>
      <c r="IK69" s="4"/>
      <c r="IS69" s="2"/>
      <c r="IT69" s="2"/>
      <c r="IV69" s="2"/>
      <c r="IW69" s="4"/>
      <c r="IY69" s="4"/>
      <c r="JK69" s="4"/>
      <c r="JM69" s="4"/>
      <c r="JZ69" s="2"/>
      <c r="KC69" s="3"/>
      <c r="KD69" s="4"/>
      <c r="KF69" s="4"/>
      <c r="KJ69" s="4"/>
      <c r="KT69" s="2"/>
      <c r="KU69" s="2"/>
      <c r="KW69" s="2"/>
      <c r="LC69" s="2"/>
      <c r="LF69" s="2"/>
      <c r="LT69" s="4"/>
      <c r="LV69" s="4"/>
      <c r="MI69" s="3"/>
      <c r="NB69" s="2"/>
      <c r="NC69" s="2"/>
      <c r="NJ69" s="2"/>
      <c r="NN69" s="2"/>
      <c r="NT69" s="4"/>
      <c r="NV69" s="4"/>
      <c r="OA69" s="2"/>
      <c r="OB69" s="2"/>
      <c r="ON69" s="2"/>
      <c r="OR69" s="4"/>
      <c r="OT69" s="4"/>
      <c r="PD69" s="2"/>
      <c r="PH69" s="2"/>
      <c r="PQ69" s="2"/>
      <c r="PX69" s="2"/>
      <c r="PZ69" s="2"/>
      <c r="QF69" s="4"/>
      <c r="QH69" s="4"/>
      <c r="QZ69" s="2"/>
      <c r="RA69" s="2"/>
      <c r="RN69" s="4"/>
      <c r="RO69" s="4"/>
      <c r="RR69" s="2"/>
      <c r="RT69" s="2"/>
      <c r="RU69" s="2"/>
      <c r="SA69" s="4"/>
      <c r="SC69" s="4"/>
      <c r="SN69" s="2"/>
      <c r="SQ69" s="4"/>
      <c r="SS69" s="4"/>
      <c r="TG69" s="2"/>
      <c r="TH69" s="2"/>
      <c r="TI69" s="2"/>
      <c r="TU69" s="4"/>
    </row>
    <row r="70" spans="1:543">
      <c r="A70">
        <v>9629</v>
      </c>
      <c r="B70">
        <v>1503</v>
      </c>
      <c r="C70">
        <v>9282597298</v>
      </c>
      <c r="D70" t="s">
        <v>27</v>
      </c>
      <c r="E70" t="s">
        <v>383</v>
      </c>
      <c r="F70" t="s">
        <v>384</v>
      </c>
      <c r="G70" s="2">
        <v>39501</v>
      </c>
      <c r="H70" t="s">
        <v>43</v>
      </c>
      <c r="I70" t="s">
        <v>331</v>
      </c>
      <c r="J70" t="s">
        <v>32</v>
      </c>
      <c r="K70" t="s">
        <v>385</v>
      </c>
      <c r="L70" t="s">
        <v>77</v>
      </c>
      <c r="M70" s="2"/>
      <c r="N70" t="s">
        <v>386</v>
      </c>
      <c r="O70" s="2">
        <f>DATE(YEAR(G70) + P70, MONTH(G70), DAY(G70))</f>
        <v>65069</v>
      </c>
      <c r="P70">
        <v>70</v>
      </c>
      <c r="Q70" s="2"/>
      <c r="R70" t="s">
        <v>47</v>
      </c>
      <c r="S70" t="s">
        <v>102</v>
      </c>
      <c r="T70" s="2">
        <v>27478</v>
      </c>
      <c r="U70" t="s">
        <v>133</v>
      </c>
      <c r="V70" t="s">
        <v>56</v>
      </c>
      <c r="W70">
        <v>3</v>
      </c>
      <c r="X70" s="1">
        <v>44302</v>
      </c>
      <c r="Y70" s="1">
        <v>8860.4</v>
      </c>
      <c r="Z70" s="1">
        <v>35441.599999999999</v>
      </c>
      <c r="AA70" s="3">
        <v>247</v>
      </c>
      <c r="AK70" s="3"/>
      <c r="AM70" s="4"/>
      <c r="AO70" s="4"/>
      <c r="BA70" s="2"/>
      <c r="BB70" s="2"/>
      <c r="BD70" s="4"/>
      <c r="BF70" s="4"/>
      <c r="BM70" s="2"/>
      <c r="BO70" s="4"/>
      <c r="BQ70" s="4"/>
      <c r="CI70" s="2"/>
      <c r="CJ70" s="2"/>
      <c r="CN70" s="2"/>
      <c r="CQ70" s="2"/>
      <c r="CV70" s="4"/>
      <c r="DB70" s="2"/>
      <c r="DC70" s="2"/>
      <c r="DE70" s="2"/>
      <c r="DF70" s="2"/>
      <c r="DW70" s="2"/>
      <c r="EF70" s="4"/>
      <c r="EH70" s="4"/>
      <c r="ER70" s="2"/>
      <c r="ES70" s="2"/>
      <c r="EX70" s="4"/>
      <c r="EZ70" s="4"/>
      <c r="FQ70" s="4"/>
      <c r="FS70" s="4"/>
      <c r="GD70" s="3"/>
      <c r="GE70" s="2"/>
      <c r="GJ70" s="4"/>
      <c r="GL70" s="4"/>
      <c r="GR70" s="2"/>
      <c r="GV70" s="2"/>
      <c r="GX70" s="3"/>
      <c r="HB70" s="3"/>
      <c r="HO70" s="3"/>
      <c r="HP70" s="2"/>
      <c r="HS70" s="4"/>
      <c r="HU70" s="4"/>
      <c r="IF70" s="3"/>
      <c r="II70" s="4"/>
      <c r="IK70" s="4"/>
      <c r="IS70" s="2"/>
      <c r="IT70" s="2"/>
      <c r="IV70" s="2"/>
      <c r="IW70" s="4"/>
      <c r="IY70" s="4"/>
      <c r="JH70" s="2"/>
      <c r="JK70" s="4"/>
      <c r="JM70" s="4"/>
      <c r="JZ70" s="2"/>
      <c r="KD70" s="4"/>
      <c r="KF70" s="4"/>
      <c r="KJ70" s="4"/>
      <c r="KT70" s="2"/>
      <c r="KU70" s="2"/>
      <c r="KW70" s="2"/>
      <c r="LC70" s="2"/>
      <c r="LF70" s="2"/>
      <c r="LT70" s="4"/>
      <c r="LV70" s="4"/>
      <c r="NB70" s="2"/>
      <c r="NC70" s="2"/>
      <c r="NJ70" s="2"/>
      <c r="NN70" s="2"/>
      <c r="NO70" s="2"/>
      <c r="NT70" s="4"/>
      <c r="NV70" s="4"/>
      <c r="OA70" s="2"/>
      <c r="OB70" s="2"/>
      <c r="ON70" s="2"/>
      <c r="OR70" s="4"/>
      <c r="OT70" s="4"/>
      <c r="PD70" s="2"/>
      <c r="PH70" s="2"/>
      <c r="PQ70" s="2"/>
      <c r="PZ70" s="2"/>
      <c r="QF70" s="4"/>
      <c r="QH70" s="4"/>
      <c r="QZ70" s="2"/>
      <c r="RA70" s="2"/>
      <c r="RN70" s="4"/>
      <c r="RO70" s="4"/>
      <c r="RR70" s="2"/>
      <c r="RT70" s="2"/>
      <c r="RU70" s="2"/>
      <c r="SA70" s="4"/>
      <c r="SC70" s="4"/>
      <c r="SQ70" s="4"/>
      <c r="TH70" s="2"/>
      <c r="TN70" s="3"/>
      <c r="TU70" s="4"/>
      <c r="TW70" s="4"/>
    </row>
    <row r="71" spans="1:543">
      <c r="A71">
        <v>7716</v>
      </c>
      <c r="B71">
        <v>405</v>
      </c>
      <c r="C71">
        <v>9126762062</v>
      </c>
      <c r="D71" t="s">
        <v>79</v>
      </c>
      <c r="E71" t="s">
        <v>387</v>
      </c>
      <c r="F71" t="s">
        <v>388</v>
      </c>
      <c r="G71" s="2">
        <v>34735</v>
      </c>
      <c r="H71" t="s">
        <v>43</v>
      </c>
      <c r="I71" t="s">
        <v>236</v>
      </c>
      <c r="J71" t="s">
        <v>32</v>
      </c>
      <c r="K71" t="s">
        <v>389</v>
      </c>
      <c r="L71" t="s">
        <v>77</v>
      </c>
      <c r="M71" s="2"/>
      <c r="N71" t="s">
        <v>390</v>
      </c>
      <c r="O71" s="2">
        <f>DATE(YEAR(G71) + P71, MONTH(G71), DAY(G71))</f>
        <v>58111</v>
      </c>
      <c r="P71">
        <v>64</v>
      </c>
      <c r="Q71" s="2"/>
      <c r="R71" t="s">
        <v>47</v>
      </c>
      <c r="S71" t="s">
        <v>48</v>
      </c>
      <c r="T71" s="2">
        <v>39039</v>
      </c>
      <c r="U71" t="s">
        <v>49</v>
      </c>
      <c r="V71" t="s">
        <v>66</v>
      </c>
      <c r="W71">
        <v>13</v>
      </c>
      <c r="X71" s="1">
        <v>70632</v>
      </c>
      <c r="Y71" s="1">
        <v>14126.400000000001</v>
      </c>
      <c r="Z71" s="1">
        <v>56505.599999999999</v>
      </c>
      <c r="AA71" s="3">
        <v>129</v>
      </c>
      <c r="AB71" s="3"/>
      <c r="AK71" s="3"/>
      <c r="AO71" s="4"/>
      <c r="BA71" s="2"/>
      <c r="BB71" s="2"/>
      <c r="BD71" s="4"/>
      <c r="BF71" s="4"/>
      <c r="BM71" s="2"/>
      <c r="BO71" s="4"/>
      <c r="BQ71" s="4"/>
      <c r="CI71" s="2"/>
      <c r="CJ71" s="2"/>
      <c r="CN71" s="2"/>
      <c r="CQ71" s="2"/>
      <c r="CV71" s="4"/>
      <c r="CX71" s="4"/>
      <c r="DB71" s="2"/>
      <c r="DC71" s="2"/>
      <c r="DE71" s="2"/>
      <c r="DF71" s="2"/>
      <c r="DV71" s="2"/>
      <c r="DW71" s="2"/>
      <c r="EF71" s="4"/>
      <c r="EH71" s="4"/>
      <c r="ER71" s="2"/>
      <c r="ES71" s="2"/>
      <c r="FQ71" s="4"/>
      <c r="FS71" s="4"/>
      <c r="GJ71" s="4"/>
      <c r="GL71" s="4"/>
      <c r="GR71" s="2"/>
      <c r="GT71" s="3"/>
      <c r="GU71" s="3"/>
      <c r="GV71" s="2"/>
      <c r="HB71" s="3"/>
      <c r="HP71" s="2"/>
      <c r="HS71" s="4"/>
      <c r="HU71" s="4"/>
      <c r="II71" s="4"/>
      <c r="IK71" s="4"/>
      <c r="IS71" s="2"/>
      <c r="IT71" s="2"/>
      <c r="IV71" s="2"/>
      <c r="IW71" s="4"/>
      <c r="IY71" s="4"/>
      <c r="JH71" s="2"/>
      <c r="JK71" s="4"/>
      <c r="JM71" s="4"/>
      <c r="JZ71" s="2"/>
      <c r="KA71" s="3"/>
      <c r="KD71" s="4"/>
      <c r="KF71" s="4"/>
      <c r="KJ71" s="4"/>
      <c r="KT71" s="2"/>
      <c r="KU71" s="2"/>
      <c r="KW71" s="2"/>
      <c r="LC71" s="2"/>
      <c r="LF71" s="2"/>
      <c r="LK71" s="2"/>
      <c r="LT71" s="4"/>
      <c r="LV71" s="4"/>
      <c r="MC71" s="3"/>
      <c r="NB71" s="2"/>
      <c r="NC71" s="2"/>
      <c r="NJ71" s="2"/>
      <c r="NN71" s="2"/>
      <c r="NO71" s="2"/>
      <c r="NT71" s="4"/>
      <c r="NV71" s="4"/>
      <c r="OA71" s="2"/>
      <c r="OB71" s="2"/>
      <c r="ON71" s="2"/>
      <c r="OR71" s="4"/>
      <c r="OT71" s="4"/>
      <c r="PH71" s="2"/>
      <c r="PQ71" s="2"/>
      <c r="PX71" s="2"/>
      <c r="PZ71" s="2"/>
      <c r="QF71" s="4"/>
      <c r="QH71" s="4"/>
      <c r="QJ71" s="3"/>
      <c r="QZ71" s="2"/>
      <c r="RA71" s="2"/>
      <c r="RO71" s="4"/>
      <c r="RR71" s="2"/>
      <c r="RT71" s="2"/>
      <c r="RU71" s="2"/>
      <c r="SA71" s="4"/>
      <c r="SC71" s="4"/>
      <c r="SN71" s="2"/>
      <c r="SS71" s="4"/>
      <c r="TG71" s="2"/>
      <c r="TH71" s="2"/>
      <c r="TI71" s="2"/>
      <c r="TU71" s="4"/>
      <c r="TW71" s="4"/>
    </row>
    <row r="72" spans="1:543">
      <c r="A72">
        <v>9492</v>
      </c>
      <c r="B72">
        <v>9212</v>
      </c>
      <c r="C72">
        <v>8790497966</v>
      </c>
      <c r="D72" t="s">
        <v>228</v>
      </c>
      <c r="E72" t="s">
        <v>391</v>
      </c>
      <c r="F72" t="s">
        <v>392</v>
      </c>
      <c r="G72" s="2">
        <v>40454</v>
      </c>
      <c r="H72" t="s">
        <v>30</v>
      </c>
      <c r="I72" t="s">
        <v>169</v>
      </c>
      <c r="J72" t="s">
        <v>32</v>
      </c>
      <c r="K72" t="s">
        <v>393</v>
      </c>
      <c r="L72" t="s">
        <v>95</v>
      </c>
      <c r="M72" s="2"/>
      <c r="N72" t="s">
        <v>394</v>
      </c>
      <c r="O72" s="2">
        <f>DATE(YEAR(G72) + P72, MONTH(G72), DAY(G72))</f>
        <v>62734</v>
      </c>
      <c r="P72">
        <v>61</v>
      </c>
      <c r="Q72" s="2">
        <v>43051</v>
      </c>
      <c r="R72" t="s">
        <v>36</v>
      </c>
      <c r="S72" t="s">
        <v>181</v>
      </c>
      <c r="T72" t="s">
        <v>395</v>
      </c>
      <c r="U72" t="s">
        <v>65</v>
      </c>
      <c r="V72" t="s">
        <v>66</v>
      </c>
      <c r="W72">
        <v>13</v>
      </c>
      <c r="X72" s="1">
        <v>5738</v>
      </c>
      <c r="Y72" s="1">
        <v>1147.6000000000001</v>
      </c>
      <c r="Z72" s="1">
        <v>4590.3999999999996</v>
      </c>
      <c r="AA72" s="3">
        <v>65</v>
      </c>
      <c r="AJ72" s="3"/>
      <c r="AK72" s="3"/>
      <c r="AM72" s="4"/>
      <c r="AO72" s="4"/>
      <c r="BA72" s="2"/>
      <c r="BD72" s="4"/>
      <c r="BF72" s="4"/>
      <c r="BM72" s="2"/>
      <c r="BO72" s="4"/>
      <c r="BQ72" s="4"/>
      <c r="CJ72" s="2"/>
      <c r="CN72" s="2"/>
      <c r="CQ72" s="2"/>
      <c r="CV72" s="4"/>
      <c r="DB72" s="2"/>
      <c r="DC72" s="2"/>
      <c r="DE72" s="2"/>
      <c r="DF72" s="2"/>
      <c r="DV72" s="2"/>
      <c r="DW72" s="2"/>
      <c r="EF72" s="4"/>
      <c r="EH72" s="4"/>
      <c r="ER72" s="2"/>
      <c r="ES72" s="2"/>
      <c r="EX72" s="4"/>
      <c r="EZ72" s="4"/>
      <c r="FQ72" s="4"/>
      <c r="FS72" s="4"/>
      <c r="GE72" s="2"/>
      <c r="GJ72" s="4"/>
      <c r="GL72" s="4"/>
      <c r="GR72" s="2"/>
      <c r="GV72" s="2"/>
      <c r="GX72" s="3"/>
      <c r="GY72" s="3"/>
      <c r="HB72" s="3"/>
      <c r="HP72" s="2"/>
      <c r="HS72" s="4"/>
      <c r="HU72" s="4"/>
      <c r="II72" s="4"/>
      <c r="IK72" s="4"/>
      <c r="IS72" s="2"/>
      <c r="IT72" s="2"/>
      <c r="IV72" s="2"/>
      <c r="IW72" s="4"/>
      <c r="IY72" s="4"/>
      <c r="JH72" s="2"/>
      <c r="JK72" s="4"/>
      <c r="JM72" s="4"/>
      <c r="JZ72" s="2"/>
      <c r="KA72" s="3"/>
      <c r="KD72" s="4"/>
      <c r="KF72" s="4"/>
      <c r="KJ72" s="4"/>
      <c r="KT72" s="2"/>
      <c r="KU72" s="2"/>
      <c r="KW72" s="2"/>
      <c r="LC72" s="2"/>
      <c r="LF72" s="2"/>
      <c r="LK72" s="2"/>
      <c r="LT72" s="4"/>
      <c r="LV72" s="4"/>
      <c r="LZ72" s="3"/>
      <c r="NB72" s="2"/>
      <c r="NC72" s="2"/>
      <c r="NJ72" s="2"/>
      <c r="NO72" s="2"/>
      <c r="NQ72" s="3"/>
      <c r="NT72" s="4"/>
      <c r="OA72" s="2"/>
      <c r="OB72" s="2"/>
      <c r="ON72" s="2"/>
      <c r="OR72" s="4"/>
      <c r="OT72" s="4"/>
      <c r="PD72" s="2"/>
      <c r="PH72" s="2"/>
      <c r="PN72" s="3"/>
      <c r="PQ72" s="2"/>
      <c r="PX72" s="2"/>
      <c r="PZ72" s="2"/>
      <c r="QF72" s="4"/>
      <c r="QH72" s="4"/>
      <c r="QZ72" s="2"/>
      <c r="RA72" s="2"/>
      <c r="RN72" s="4"/>
      <c r="RO72" s="4"/>
      <c r="RR72" s="2"/>
      <c r="RU72" s="2"/>
      <c r="SA72" s="4"/>
      <c r="SC72" s="4"/>
      <c r="SN72" s="2"/>
      <c r="SQ72" s="4"/>
      <c r="SS72" s="4"/>
      <c r="TG72" s="2"/>
      <c r="TH72" s="2"/>
      <c r="TI72" s="2"/>
      <c r="TU72" s="4"/>
      <c r="TW72" s="4"/>
    </row>
    <row r="73" spans="1:543">
      <c r="A73">
        <v>6576</v>
      </c>
      <c r="B73">
        <v>9080</v>
      </c>
      <c r="C73">
        <v>9538597666</v>
      </c>
      <c r="D73" t="s">
        <v>40</v>
      </c>
      <c r="E73" t="s">
        <v>396</v>
      </c>
      <c r="F73" t="s">
        <v>397</v>
      </c>
      <c r="G73" s="2">
        <v>33951</v>
      </c>
      <c r="H73" t="s">
        <v>43</v>
      </c>
      <c r="I73" t="s">
        <v>260</v>
      </c>
      <c r="J73" t="s">
        <v>32</v>
      </c>
      <c r="K73" t="s">
        <v>398</v>
      </c>
      <c r="L73" t="s">
        <v>34</v>
      </c>
      <c r="M73" s="2"/>
      <c r="N73" t="s">
        <v>399</v>
      </c>
      <c r="O73" s="2">
        <f>DATE(YEAR(G73) + P73, MONTH(G73), DAY(G73))</f>
        <v>58422</v>
      </c>
      <c r="P73">
        <v>67</v>
      </c>
      <c r="Q73" s="2">
        <v>45965</v>
      </c>
      <c r="R73" t="s">
        <v>36</v>
      </c>
      <c r="S73" t="s">
        <v>109</v>
      </c>
      <c r="T73" s="2">
        <v>38352</v>
      </c>
      <c r="U73" t="s">
        <v>65</v>
      </c>
      <c r="V73" t="s">
        <v>66</v>
      </c>
      <c r="W73">
        <v>5</v>
      </c>
      <c r="X73" s="1">
        <v>75427</v>
      </c>
      <c r="Y73" s="1">
        <v>15085.400000000001</v>
      </c>
      <c r="Z73" s="1">
        <v>60341.599999999999</v>
      </c>
      <c r="AA73" s="3">
        <v>469</v>
      </c>
      <c r="AK73" s="3"/>
      <c r="AM73" s="4"/>
      <c r="AO73" s="4"/>
      <c r="BA73" s="2"/>
      <c r="BB73" s="2"/>
      <c r="BD73" s="4"/>
      <c r="BF73" s="4"/>
      <c r="BM73" s="2"/>
      <c r="BO73" s="4"/>
      <c r="BQ73" s="4"/>
      <c r="CF73" s="3"/>
      <c r="CI73" s="2"/>
      <c r="CJ73" s="2"/>
      <c r="CN73" s="2"/>
      <c r="CQ73" s="2"/>
      <c r="CV73" s="4"/>
      <c r="CX73" s="4"/>
      <c r="DB73" s="2"/>
      <c r="DC73" s="2"/>
      <c r="DE73" s="2"/>
      <c r="DF73" s="2"/>
      <c r="DV73" s="2"/>
      <c r="DW73" s="2"/>
      <c r="EH73" s="4"/>
      <c r="ER73" s="2"/>
      <c r="EX73" s="4"/>
      <c r="EZ73" s="4"/>
      <c r="FS73" s="4"/>
      <c r="GE73" s="2"/>
      <c r="GJ73" s="4"/>
      <c r="GL73" s="4"/>
      <c r="GR73" s="2"/>
      <c r="GS73" s="3"/>
      <c r="GT73" s="3"/>
      <c r="GV73" s="2"/>
      <c r="HB73" s="3"/>
      <c r="HP73" s="2"/>
      <c r="HQ73" s="3"/>
      <c r="HS73" s="4"/>
      <c r="HU73" s="4"/>
      <c r="IF73" s="3"/>
      <c r="II73" s="4"/>
      <c r="IS73" s="2"/>
      <c r="IT73" s="2"/>
      <c r="IV73" s="2"/>
      <c r="IW73" s="4"/>
      <c r="IY73" s="4"/>
      <c r="JH73" s="2"/>
      <c r="JK73" s="4"/>
      <c r="JM73" s="4"/>
      <c r="JZ73" s="2"/>
      <c r="KF73" s="4"/>
      <c r="KJ73" s="4"/>
      <c r="KT73" s="2"/>
      <c r="KU73" s="2"/>
      <c r="KW73" s="2"/>
      <c r="LC73" s="2"/>
      <c r="LF73" s="2"/>
      <c r="LK73" s="2"/>
      <c r="LT73" s="4"/>
      <c r="LV73" s="4"/>
      <c r="NB73" s="2"/>
      <c r="NC73" s="2"/>
      <c r="NJ73" s="2"/>
      <c r="NN73" s="2"/>
      <c r="NO73" s="2"/>
      <c r="NV73" s="4"/>
      <c r="OA73" s="2"/>
      <c r="OB73" s="2"/>
      <c r="ON73" s="2"/>
      <c r="OO73" s="3"/>
      <c r="OR73" s="4"/>
      <c r="OT73" s="4"/>
      <c r="PD73" s="2"/>
      <c r="PH73" s="2"/>
      <c r="PQ73" s="2"/>
      <c r="PX73" s="2"/>
      <c r="PZ73" s="2"/>
      <c r="QF73" s="4"/>
      <c r="QH73" s="4"/>
      <c r="RA73" s="2"/>
      <c r="RN73" s="4"/>
      <c r="RO73" s="4"/>
      <c r="RR73" s="2"/>
      <c r="RT73" s="2"/>
      <c r="RU73" s="2"/>
      <c r="SA73" s="4"/>
      <c r="SC73" s="4"/>
      <c r="SN73" s="2"/>
      <c r="SQ73" s="4"/>
      <c r="SS73" s="4"/>
      <c r="TG73" s="2"/>
      <c r="TU73" s="4"/>
      <c r="TW73" s="4"/>
    </row>
    <row r="74" spans="1:543">
      <c r="A74">
        <v>2566</v>
      </c>
      <c r="B74">
        <v>4163</v>
      </c>
      <c r="C74">
        <v>7642730558</v>
      </c>
      <c r="D74" t="s">
        <v>172</v>
      </c>
      <c r="E74" t="s">
        <v>400</v>
      </c>
      <c r="F74" t="s">
        <v>401</v>
      </c>
      <c r="G74" s="2">
        <v>40542</v>
      </c>
      <c r="H74" t="s">
        <v>43</v>
      </c>
      <c r="I74" t="s">
        <v>279</v>
      </c>
      <c r="J74" t="s">
        <v>32</v>
      </c>
      <c r="K74" t="s">
        <v>402</v>
      </c>
      <c r="L74" t="s">
        <v>77</v>
      </c>
      <c r="M74" s="2"/>
      <c r="N74" t="s">
        <v>403</v>
      </c>
      <c r="O74" s="2">
        <f>DATE(YEAR(G74) + P74, MONTH(G74), DAY(G74))</f>
        <v>64283</v>
      </c>
      <c r="P74">
        <v>65</v>
      </c>
      <c r="Q74" s="2"/>
      <c r="R74" t="s">
        <v>47</v>
      </c>
      <c r="S74" t="s">
        <v>64</v>
      </c>
      <c r="T74" s="2">
        <v>44043</v>
      </c>
      <c r="U74" t="s">
        <v>49</v>
      </c>
      <c r="V74" t="s">
        <v>56</v>
      </c>
      <c r="W74">
        <v>17</v>
      </c>
      <c r="X74" s="1">
        <v>74768</v>
      </c>
      <c r="Y74" s="1">
        <v>14953.6</v>
      </c>
      <c r="Z74" s="1">
        <v>59814.400000000001</v>
      </c>
      <c r="AA74" s="3">
        <v>374</v>
      </c>
      <c r="AK74" s="3"/>
      <c r="AM74" s="4"/>
      <c r="AO74" s="4"/>
      <c r="BA74" s="2"/>
      <c r="BB74" s="2"/>
      <c r="BD74" s="4"/>
      <c r="BF74" s="4"/>
      <c r="BM74" s="2"/>
      <c r="BO74" s="4"/>
      <c r="BQ74" s="4"/>
      <c r="CH74" s="3"/>
      <c r="CI74" s="2"/>
      <c r="CJ74" s="2"/>
      <c r="CN74" s="2"/>
      <c r="CQ74" s="2"/>
      <c r="CV74" s="4"/>
      <c r="CX74" s="4"/>
      <c r="DB74" s="2"/>
      <c r="DC74" s="2"/>
      <c r="DE74" s="2"/>
      <c r="DF74" s="2"/>
      <c r="DV74" s="2"/>
      <c r="DW74" s="2"/>
      <c r="DX74" s="3"/>
      <c r="EC74" s="3"/>
      <c r="EH74" s="4"/>
      <c r="ER74" s="2"/>
      <c r="ES74" s="2"/>
      <c r="EX74" s="4"/>
      <c r="EZ74" s="4"/>
      <c r="FQ74" s="4"/>
      <c r="FS74" s="4"/>
      <c r="GE74" s="2"/>
      <c r="GJ74" s="4"/>
      <c r="GL74" s="4"/>
      <c r="GR74" s="2"/>
      <c r="GT74" s="3"/>
      <c r="GV74" s="2"/>
      <c r="GW74" s="3"/>
      <c r="GX74" s="3"/>
      <c r="HB74" s="3"/>
      <c r="HP74" s="2"/>
      <c r="HU74" s="4"/>
      <c r="II74" s="4"/>
      <c r="IK74" s="4"/>
      <c r="IS74" s="2"/>
      <c r="IT74" s="2"/>
      <c r="IV74" s="2"/>
      <c r="IY74" s="4"/>
      <c r="JH74" s="2"/>
      <c r="JK74" s="4"/>
      <c r="JZ74" s="2"/>
      <c r="KD74" s="4"/>
      <c r="KF74" s="4"/>
      <c r="KJ74" s="4"/>
      <c r="KT74" s="2"/>
      <c r="KU74" s="2"/>
      <c r="KW74" s="2"/>
      <c r="LC74" s="2"/>
      <c r="LF74" s="2"/>
      <c r="LK74" s="2"/>
      <c r="LT74" s="4"/>
      <c r="LV74" s="4"/>
      <c r="MC74" s="3"/>
      <c r="NB74" s="2"/>
      <c r="NC74" s="2"/>
      <c r="NJ74" s="2"/>
      <c r="NN74" s="2"/>
      <c r="NT74" s="4"/>
      <c r="NV74" s="4"/>
      <c r="OA74" s="2"/>
      <c r="OB74" s="2"/>
      <c r="OJ74" s="3"/>
      <c r="ON74" s="2"/>
      <c r="OR74" s="4"/>
      <c r="OT74" s="4"/>
      <c r="PQ74" s="2"/>
      <c r="PX74" s="2"/>
      <c r="PZ74" s="2"/>
      <c r="QF74" s="4"/>
      <c r="QH74" s="4"/>
      <c r="QZ74" s="2"/>
      <c r="RA74" s="2"/>
      <c r="RO74" s="4"/>
      <c r="RR74" s="2"/>
      <c r="RU74" s="2"/>
      <c r="SA74" s="4"/>
      <c r="SC74" s="4"/>
      <c r="SN74" s="2"/>
      <c r="SQ74" s="4"/>
      <c r="SS74" s="4"/>
      <c r="TG74" s="2"/>
      <c r="TH74" s="2"/>
      <c r="TI74" s="2"/>
      <c r="TU74" s="4"/>
      <c r="TW74" s="4"/>
    </row>
    <row r="75" spans="1:543">
      <c r="A75">
        <v>7484</v>
      </c>
      <c r="B75">
        <v>6119</v>
      </c>
      <c r="C75">
        <v>5817773662</v>
      </c>
      <c r="D75" t="s">
        <v>404</v>
      </c>
      <c r="E75" t="s">
        <v>405</v>
      </c>
      <c r="F75" t="s">
        <v>406</v>
      </c>
      <c r="G75" s="2">
        <v>36809</v>
      </c>
      <c r="H75" t="s">
        <v>43</v>
      </c>
      <c r="I75" t="s">
        <v>407</v>
      </c>
      <c r="J75" t="s">
        <v>61</v>
      </c>
      <c r="K75" t="s">
        <v>408</v>
      </c>
      <c r="L75" t="s">
        <v>34</v>
      </c>
      <c r="M75" s="2">
        <v>41365</v>
      </c>
      <c r="N75" t="s">
        <v>409</v>
      </c>
      <c r="O75" s="2">
        <f>DATE(YEAR(G75) + P75, MONTH(G75), DAY(G75))</f>
        <v>61646</v>
      </c>
      <c r="P75">
        <v>68</v>
      </c>
      <c r="Q75" s="2"/>
      <c r="R75" t="s">
        <v>47</v>
      </c>
      <c r="S75" t="s">
        <v>64</v>
      </c>
      <c r="T75" s="2">
        <v>42883</v>
      </c>
      <c r="U75" t="s">
        <v>103</v>
      </c>
      <c r="V75" t="s">
        <v>56</v>
      </c>
      <c r="W75">
        <v>23</v>
      </c>
      <c r="X75" s="1">
        <v>28039</v>
      </c>
      <c r="Y75" s="1">
        <v>5607.8</v>
      </c>
      <c r="Z75" s="1">
        <v>22431.200000000001</v>
      </c>
      <c r="AA75" s="3">
        <v>388</v>
      </c>
      <c r="AK75" s="3"/>
      <c r="AM75" s="4"/>
      <c r="AO75" s="4"/>
      <c r="BA75" s="2"/>
      <c r="BB75" s="2"/>
      <c r="BD75" s="4"/>
      <c r="BF75" s="4"/>
      <c r="BM75" s="2"/>
      <c r="BO75" s="4"/>
      <c r="CI75" s="2"/>
      <c r="CJ75" s="2"/>
      <c r="CM75" s="3"/>
      <c r="CN75" s="2"/>
      <c r="CQ75" s="2"/>
      <c r="CV75" s="4"/>
      <c r="CX75" s="4"/>
      <c r="DB75" s="2"/>
      <c r="DC75" s="2"/>
      <c r="DE75" s="2"/>
      <c r="DF75" s="2"/>
      <c r="DV75" s="2"/>
      <c r="DW75" s="2"/>
      <c r="EF75" s="4"/>
      <c r="ER75" s="2"/>
      <c r="ES75" s="2"/>
      <c r="EX75" s="4"/>
      <c r="EZ75" s="4"/>
      <c r="FQ75" s="4"/>
      <c r="FS75" s="4"/>
      <c r="GE75" s="2"/>
      <c r="GJ75" s="4"/>
      <c r="GL75" s="4"/>
      <c r="GR75" s="2"/>
      <c r="GT75" s="3"/>
      <c r="GV75" s="2"/>
      <c r="GY75" s="3"/>
      <c r="HP75" s="2"/>
      <c r="HS75" s="4"/>
      <c r="HU75" s="4"/>
      <c r="II75" s="4"/>
      <c r="IK75" s="4"/>
      <c r="IT75" s="2"/>
      <c r="IV75" s="2"/>
      <c r="IW75" s="4"/>
      <c r="IY75" s="4"/>
      <c r="JH75" s="2"/>
      <c r="JK75" s="4"/>
      <c r="JM75" s="4"/>
      <c r="JZ75" s="2"/>
      <c r="KC75" s="3"/>
      <c r="KD75" s="4"/>
      <c r="KF75" s="4"/>
      <c r="KJ75" s="4"/>
      <c r="KT75" s="2"/>
      <c r="KU75" s="2"/>
      <c r="KW75" s="2"/>
      <c r="LC75" s="2"/>
      <c r="LF75" s="2"/>
      <c r="LK75" s="2"/>
      <c r="LV75" s="4"/>
      <c r="MF75" s="3"/>
      <c r="NB75" s="2"/>
      <c r="NG75" s="5"/>
      <c r="NJ75" s="2"/>
      <c r="NN75" s="2"/>
      <c r="NO75" s="2"/>
      <c r="NP75" s="3"/>
      <c r="NT75" s="4"/>
      <c r="NV75" s="4"/>
      <c r="OA75" s="2"/>
      <c r="OB75" s="2"/>
      <c r="OJ75" s="3"/>
      <c r="ON75" s="2"/>
      <c r="OR75" s="4"/>
      <c r="PD75" s="2"/>
      <c r="PH75" s="2"/>
      <c r="PN75" s="3"/>
      <c r="PQ75" s="2"/>
      <c r="PX75" s="2"/>
      <c r="PZ75" s="2"/>
      <c r="QF75" s="4"/>
      <c r="QH75" s="4"/>
      <c r="QZ75" s="2"/>
      <c r="RA75" s="2"/>
      <c r="RN75" s="4"/>
      <c r="RO75" s="4"/>
      <c r="RR75" s="2"/>
      <c r="RT75" s="2"/>
      <c r="RU75" s="2"/>
      <c r="SA75" s="4"/>
      <c r="SC75" s="4"/>
      <c r="SN75" s="2"/>
      <c r="SQ75" s="4"/>
      <c r="SS75" s="4"/>
      <c r="TG75" s="2"/>
      <c r="TH75" s="2"/>
      <c r="TI75" s="2"/>
      <c r="TU75" s="4"/>
      <c r="TW75" s="4"/>
    </row>
    <row r="76" spans="1:543">
      <c r="A76">
        <v>5234</v>
      </c>
      <c r="B76">
        <v>231</v>
      </c>
      <c r="C76">
        <v>3689405576</v>
      </c>
      <c r="D76" t="s">
        <v>156</v>
      </c>
      <c r="E76" t="s">
        <v>410</v>
      </c>
      <c r="F76" t="s">
        <v>411</v>
      </c>
      <c r="G76" s="2">
        <v>40481</v>
      </c>
      <c r="H76" t="s">
        <v>30</v>
      </c>
      <c r="I76" t="s">
        <v>31</v>
      </c>
      <c r="J76" t="s">
        <v>61</v>
      </c>
      <c r="K76" t="s">
        <v>412</v>
      </c>
      <c r="L76" t="s">
        <v>77</v>
      </c>
      <c r="M76" s="2">
        <v>25688</v>
      </c>
      <c r="N76" t="s">
        <v>413</v>
      </c>
      <c r="O76" s="2">
        <f>DATE(YEAR(G76) + P76, MONTH(G76), DAY(G76))</f>
        <v>64953</v>
      </c>
      <c r="P76">
        <v>67</v>
      </c>
      <c r="Q76" s="2"/>
      <c r="R76" t="s">
        <v>47</v>
      </c>
      <c r="S76" t="s">
        <v>102</v>
      </c>
      <c r="T76" t="s">
        <v>414</v>
      </c>
      <c r="U76" t="s">
        <v>49</v>
      </c>
      <c r="V76" t="s">
        <v>39</v>
      </c>
      <c r="W76">
        <v>20</v>
      </c>
      <c r="X76" s="1">
        <v>32572</v>
      </c>
      <c r="Y76" s="1">
        <v>6514.4000000000005</v>
      </c>
      <c r="Z76" s="1">
        <v>26057.599999999999</v>
      </c>
      <c r="AA76" s="3">
        <v>585</v>
      </c>
      <c r="AK76" s="3"/>
      <c r="AM76" s="4"/>
      <c r="AO76" s="4"/>
      <c r="BA76" s="2"/>
      <c r="BB76" s="2"/>
      <c r="BD76" s="4"/>
      <c r="BF76" s="4"/>
      <c r="BM76" s="2"/>
      <c r="BO76" s="4"/>
      <c r="BQ76" s="4"/>
      <c r="CI76" s="2"/>
      <c r="CJ76" s="2"/>
      <c r="CN76" s="2"/>
      <c r="CQ76" s="2"/>
      <c r="CV76" s="4"/>
      <c r="CX76" s="4"/>
      <c r="DA76" s="3"/>
      <c r="DB76" s="2"/>
      <c r="DC76" s="2"/>
      <c r="DE76" s="2"/>
      <c r="DF76" s="2"/>
      <c r="DG76" s="3"/>
      <c r="DV76" s="2"/>
      <c r="DW76" s="2"/>
      <c r="EF76" s="4"/>
      <c r="EH76" s="4"/>
      <c r="ER76" s="2"/>
      <c r="ES76" s="2"/>
      <c r="EX76" s="4"/>
      <c r="EZ76" s="4"/>
      <c r="FQ76" s="4"/>
      <c r="FS76" s="4"/>
      <c r="GE76" s="2"/>
      <c r="GJ76" s="4"/>
      <c r="GL76" s="4"/>
      <c r="GR76" s="2"/>
      <c r="GX76" s="3"/>
      <c r="HB76" s="3"/>
      <c r="HS76" s="4"/>
      <c r="HU76" s="4"/>
      <c r="II76" s="4"/>
      <c r="IK76" s="4"/>
      <c r="IS76" s="2"/>
      <c r="IT76" s="2"/>
      <c r="IV76" s="2"/>
      <c r="IW76" s="4"/>
      <c r="IY76" s="4"/>
      <c r="JH76" s="2"/>
      <c r="JK76" s="4"/>
      <c r="JM76" s="4"/>
      <c r="JZ76" s="2"/>
      <c r="KC76" s="3"/>
      <c r="KD76" s="4"/>
      <c r="KF76" s="4"/>
      <c r="KJ76" s="4"/>
      <c r="KT76" s="2"/>
      <c r="KU76" s="2"/>
      <c r="KW76" s="2"/>
      <c r="LC76" s="2"/>
      <c r="LF76" s="2"/>
      <c r="LT76" s="4"/>
      <c r="LV76" s="4"/>
      <c r="MB76" s="3"/>
      <c r="MI76" s="3"/>
      <c r="NB76" s="2"/>
      <c r="NC76" s="2"/>
      <c r="NG76" s="5"/>
      <c r="NJ76" s="2"/>
      <c r="NN76" s="2"/>
      <c r="NO76" s="2"/>
      <c r="NT76" s="4"/>
      <c r="NV76" s="4"/>
      <c r="OA76" s="2"/>
      <c r="OR76" s="4"/>
      <c r="OT76" s="4"/>
      <c r="PD76" s="2"/>
      <c r="PH76" s="2"/>
      <c r="PQ76" s="2"/>
      <c r="PX76" s="2"/>
      <c r="PZ76" s="2"/>
      <c r="QF76" s="4"/>
      <c r="QH76" s="4"/>
      <c r="RA76" s="2"/>
      <c r="RM76" s="3"/>
      <c r="RO76" s="4"/>
      <c r="RR76" s="2"/>
      <c r="RT76" s="2"/>
      <c r="RU76" s="2"/>
      <c r="SA76" s="4"/>
      <c r="SC76" s="4"/>
      <c r="SN76" s="2"/>
      <c r="SQ76" s="4"/>
      <c r="TG76" s="2"/>
      <c r="TH76" s="2"/>
      <c r="TI76" s="2"/>
      <c r="TU76" s="4"/>
      <c r="TW76" s="4"/>
    </row>
    <row r="77" spans="1:543">
      <c r="A77">
        <v>8328</v>
      </c>
      <c r="B77">
        <v>2016</v>
      </c>
      <c r="C77">
        <v>4406646570</v>
      </c>
      <c r="D77" t="s">
        <v>415</v>
      </c>
      <c r="E77" t="s">
        <v>416</v>
      </c>
      <c r="F77" t="s">
        <v>417</v>
      </c>
      <c r="G77" s="2">
        <v>38595</v>
      </c>
      <c r="H77" t="s">
        <v>30</v>
      </c>
      <c r="I77" t="s">
        <v>137</v>
      </c>
      <c r="J77" t="s">
        <v>32</v>
      </c>
      <c r="K77" t="s">
        <v>418</v>
      </c>
      <c r="L77" t="s">
        <v>95</v>
      </c>
      <c r="M77" s="2"/>
      <c r="N77" t="s">
        <v>419</v>
      </c>
      <c r="O77" s="2">
        <f>DATE(YEAR(G77) + P77, MONTH(G77), DAY(G77))</f>
        <v>60875</v>
      </c>
      <c r="P77">
        <v>61</v>
      </c>
      <c r="Q77" s="2"/>
      <c r="R77" t="s">
        <v>47</v>
      </c>
      <c r="S77" t="s">
        <v>102</v>
      </c>
      <c r="T77" t="s">
        <v>420</v>
      </c>
      <c r="U77" t="s">
        <v>38</v>
      </c>
      <c r="V77" t="s">
        <v>39</v>
      </c>
      <c r="W77">
        <v>8</v>
      </c>
      <c r="X77" s="1">
        <v>56783</v>
      </c>
      <c r="Y77" s="1">
        <v>11356.6</v>
      </c>
      <c r="Z77" s="1">
        <v>45426.400000000001</v>
      </c>
      <c r="AA77" s="3">
        <v>698</v>
      </c>
      <c r="AK77" s="3"/>
      <c r="AM77" s="4"/>
      <c r="AO77" s="4"/>
      <c r="BA77" s="2"/>
      <c r="BB77" s="2"/>
      <c r="BD77" s="4"/>
      <c r="BM77" s="2"/>
      <c r="BO77" s="4"/>
      <c r="BQ77" s="4"/>
      <c r="CJ77" s="2"/>
      <c r="CL77" s="3"/>
      <c r="CQ77" s="2"/>
      <c r="CV77" s="4"/>
      <c r="CX77" s="4"/>
      <c r="DA77" s="3"/>
      <c r="DC77" s="2"/>
      <c r="DE77" s="2"/>
      <c r="DF77" s="2"/>
      <c r="DV77" s="2"/>
      <c r="DW77" s="2"/>
      <c r="DX77" s="3"/>
      <c r="EF77" s="4"/>
      <c r="EH77" s="4"/>
      <c r="ER77" s="2"/>
      <c r="ES77" s="2"/>
      <c r="EX77" s="4"/>
      <c r="EZ77" s="4"/>
      <c r="FQ77" s="4"/>
      <c r="FS77" s="4"/>
      <c r="GE77" s="2"/>
      <c r="GJ77" s="4"/>
      <c r="GL77" s="4"/>
      <c r="GR77" s="2"/>
      <c r="GS77" s="3"/>
      <c r="GV77" s="2"/>
      <c r="GW77" s="3"/>
      <c r="GX77" s="3"/>
      <c r="HB77" s="3"/>
      <c r="HP77" s="2"/>
      <c r="HS77" s="4"/>
      <c r="HU77" s="4"/>
      <c r="II77" s="4"/>
      <c r="IK77" s="4"/>
      <c r="IS77" s="2"/>
      <c r="IT77" s="2"/>
      <c r="IV77" s="2"/>
      <c r="IW77" s="4"/>
      <c r="IY77" s="4"/>
      <c r="JK77" s="4"/>
      <c r="JM77" s="4"/>
      <c r="JZ77" s="2"/>
      <c r="KD77" s="4"/>
      <c r="KF77" s="4"/>
      <c r="KT77" s="2"/>
      <c r="KW77" s="2"/>
      <c r="LC77" s="2"/>
      <c r="LF77" s="2"/>
      <c r="LK77" s="2"/>
      <c r="LT77" s="4"/>
      <c r="LV77" s="4"/>
      <c r="NB77" s="2"/>
      <c r="NC77" s="2"/>
      <c r="NJ77" s="2"/>
      <c r="NN77" s="2"/>
      <c r="NO77" s="2"/>
      <c r="NT77" s="4"/>
      <c r="NV77" s="4"/>
      <c r="OA77" s="2"/>
      <c r="OB77" s="2"/>
      <c r="OK77" s="3"/>
      <c r="OR77" s="4"/>
      <c r="OT77" s="4"/>
      <c r="PD77" s="2"/>
      <c r="PH77" s="2"/>
      <c r="PQ77" s="2"/>
      <c r="PX77" s="2"/>
      <c r="QF77" s="4"/>
      <c r="QH77" s="4"/>
      <c r="QZ77" s="2"/>
      <c r="RN77" s="4"/>
      <c r="RO77" s="4"/>
      <c r="RR77" s="2"/>
      <c r="RT77" s="2"/>
      <c r="RU77" s="2"/>
      <c r="SA77" s="4"/>
      <c r="SC77" s="4"/>
      <c r="SN77" s="2"/>
      <c r="SQ77" s="4"/>
      <c r="SS77" s="4"/>
      <c r="TG77" s="2"/>
      <c r="TH77" s="2"/>
      <c r="TI77" s="2"/>
      <c r="TU77" s="4"/>
      <c r="TW77" s="4"/>
    </row>
    <row r="78" spans="1:543">
      <c r="A78">
        <v>5700</v>
      </c>
      <c r="B78">
        <v>7927</v>
      </c>
      <c r="C78">
        <v>5723147489</v>
      </c>
      <c r="D78" t="s">
        <v>421</v>
      </c>
      <c r="E78" t="s">
        <v>422</v>
      </c>
      <c r="F78" t="s">
        <v>423</v>
      </c>
      <c r="G78" s="2">
        <v>35369</v>
      </c>
      <c r="H78" t="s">
        <v>30</v>
      </c>
      <c r="I78" t="s">
        <v>260</v>
      </c>
      <c r="J78" t="s">
        <v>32</v>
      </c>
      <c r="K78" t="s">
        <v>424</v>
      </c>
      <c r="L78" t="s">
        <v>34</v>
      </c>
      <c r="M78" s="2"/>
      <c r="N78" t="s">
        <v>425</v>
      </c>
      <c r="O78" s="2">
        <f>DATE(YEAR(G78) + P78, MONTH(G78), DAY(G78))</f>
        <v>58014</v>
      </c>
      <c r="P78">
        <v>62</v>
      </c>
      <c r="Q78" s="2"/>
      <c r="R78" t="s">
        <v>47</v>
      </c>
      <c r="S78" t="s">
        <v>102</v>
      </c>
      <c r="T78" s="2">
        <v>37076</v>
      </c>
      <c r="U78" t="s">
        <v>49</v>
      </c>
      <c r="V78" t="s">
        <v>56</v>
      </c>
      <c r="W78">
        <v>22</v>
      </c>
      <c r="X78" s="1">
        <v>72885</v>
      </c>
      <c r="Y78" s="1">
        <v>14577</v>
      </c>
      <c r="Z78" s="1">
        <v>58308</v>
      </c>
      <c r="AA78" s="3">
        <v>88</v>
      </c>
      <c r="AK78" s="3"/>
      <c r="AO78" s="4"/>
      <c r="BA78" s="2"/>
      <c r="BB78" s="2"/>
      <c r="BD78" s="4"/>
      <c r="BF78" s="4"/>
      <c r="BM78" s="2"/>
      <c r="BO78" s="4"/>
      <c r="BQ78" s="4"/>
      <c r="CI78" s="2"/>
      <c r="CJ78" s="2"/>
      <c r="CN78" s="2"/>
      <c r="CP78" s="3"/>
      <c r="CQ78" s="2"/>
      <c r="CV78" s="4"/>
      <c r="CX78" s="4"/>
      <c r="CZ78" s="3"/>
      <c r="DB78" s="2"/>
      <c r="DC78" s="2"/>
      <c r="DE78" s="2"/>
      <c r="DF78" s="2"/>
      <c r="DV78" s="2"/>
      <c r="DW78" s="2"/>
      <c r="EF78" s="4"/>
      <c r="EH78" s="4"/>
      <c r="ER78" s="2"/>
      <c r="ES78" s="2"/>
      <c r="EX78" s="4"/>
      <c r="EZ78" s="4"/>
      <c r="FQ78" s="4"/>
      <c r="FS78" s="4"/>
      <c r="GE78" s="2"/>
      <c r="GJ78" s="4"/>
      <c r="GL78" s="4"/>
      <c r="GR78" s="2"/>
      <c r="GS78" s="3"/>
      <c r="GU78" s="3"/>
      <c r="GV78" s="2"/>
      <c r="GX78" s="3"/>
      <c r="HB78" s="3"/>
      <c r="HP78" s="2"/>
      <c r="HS78" s="4"/>
      <c r="HU78" s="4"/>
      <c r="II78" s="4"/>
      <c r="IK78" s="4"/>
      <c r="IS78" s="2"/>
      <c r="IT78" s="2"/>
      <c r="IV78" s="2"/>
      <c r="IW78" s="4"/>
      <c r="IY78" s="4"/>
      <c r="JH78" s="2"/>
      <c r="JK78" s="4"/>
      <c r="JM78" s="4"/>
      <c r="JZ78" s="2"/>
      <c r="KD78" s="4"/>
      <c r="KF78" s="4"/>
      <c r="KJ78" s="4"/>
      <c r="KT78" s="2"/>
      <c r="KU78" s="2"/>
      <c r="KW78" s="2"/>
      <c r="LC78" s="2"/>
      <c r="LF78" s="2"/>
      <c r="LK78" s="2"/>
      <c r="LT78" s="4"/>
      <c r="LV78" s="4"/>
      <c r="NB78" s="2"/>
      <c r="NC78" s="2"/>
      <c r="NH78" s="3"/>
      <c r="NJ78" s="2"/>
      <c r="NM78" s="3"/>
      <c r="NN78" s="2"/>
      <c r="NO78" s="2"/>
      <c r="NT78" s="4"/>
      <c r="NV78" s="4"/>
      <c r="OA78" s="2"/>
      <c r="OB78" s="2"/>
      <c r="ON78" s="2"/>
      <c r="OR78" s="4"/>
      <c r="OT78" s="4"/>
      <c r="PD78" s="2"/>
      <c r="PH78" s="2"/>
      <c r="PQ78" s="2"/>
      <c r="PX78" s="2"/>
      <c r="PZ78" s="2"/>
      <c r="QF78" s="4"/>
      <c r="QH78" s="4"/>
      <c r="QZ78" s="2"/>
      <c r="RA78" s="2"/>
      <c r="RN78" s="4"/>
      <c r="RO78" s="4"/>
      <c r="RT78" s="2"/>
      <c r="RU78" s="2"/>
      <c r="SA78" s="4"/>
      <c r="SC78" s="4"/>
      <c r="SN78" s="2"/>
      <c r="SQ78" s="4"/>
      <c r="SS78" s="4"/>
      <c r="TG78" s="2"/>
      <c r="TH78" s="2"/>
      <c r="TI78" s="2"/>
      <c r="TU78" s="4"/>
      <c r="TW78" s="4"/>
    </row>
    <row r="79" spans="1:543">
      <c r="A79">
        <v>7725</v>
      </c>
      <c r="B79">
        <v>7241</v>
      </c>
      <c r="C79">
        <v>3027073566</v>
      </c>
      <c r="D79" t="s">
        <v>426</v>
      </c>
      <c r="E79" t="s">
        <v>427</v>
      </c>
      <c r="F79" t="s">
        <v>428</v>
      </c>
      <c r="G79" s="2">
        <v>35185</v>
      </c>
      <c r="H79" t="s">
        <v>43</v>
      </c>
      <c r="I79" t="s">
        <v>143</v>
      </c>
      <c r="J79" t="s">
        <v>61</v>
      </c>
      <c r="K79" t="s">
        <v>429</v>
      </c>
      <c r="L79" t="s">
        <v>77</v>
      </c>
      <c r="M79" s="2">
        <v>38973</v>
      </c>
      <c r="N79" t="s">
        <v>430</v>
      </c>
      <c r="O79" s="2">
        <f>DATE(YEAR(G79) + P79, MONTH(G79), DAY(G79))</f>
        <v>60022</v>
      </c>
      <c r="P79">
        <v>68</v>
      </c>
      <c r="Q79" s="2"/>
      <c r="R79" t="s">
        <v>47</v>
      </c>
      <c r="S79" t="s">
        <v>37</v>
      </c>
      <c r="T79" s="2">
        <v>37318</v>
      </c>
      <c r="U79" t="s">
        <v>49</v>
      </c>
      <c r="V79" t="s">
        <v>66</v>
      </c>
      <c r="W79">
        <v>4</v>
      </c>
      <c r="X79" s="1">
        <v>57409</v>
      </c>
      <c r="Y79" s="1">
        <v>11481.800000000001</v>
      </c>
      <c r="Z79" s="1">
        <v>45927.199999999997</v>
      </c>
      <c r="AA79" s="3">
        <v>881</v>
      </c>
      <c r="AK79" s="3"/>
      <c r="AM79" s="4"/>
      <c r="AO79" s="4"/>
      <c r="BA79" s="2"/>
      <c r="BB79" s="2"/>
      <c r="BD79" s="4"/>
      <c r="BF79" s="4"/>
      <c r="BM79" s="2"/>
      <c r="BQ79" s="4"/>
      <c r="CH79" s="3"/>
      <c r="CI79" s="2"/>
      <c r="CJ79" s="2"/>
      <c r="CN79" s="2"/>
      <c r="CQ79" s="2"/>
      <c r="CV79" s="4"/>
      <c r="DB79" s="2"/>
      <c r="DC79" s="2"/>
      <c r="DE79" s="2"/>
      <c r="DF79" s="2"/>
      <c r="DV79" s="2"/>
      <c r="DW79" s="2"/>
      <c r="EF79" s="4"/>
      <c r="EH79" s="4"/>
      <c r="ER79" s="2"/>
      <c r="ES79" s="2"/>
      <c r="EU79" s="3"/>
      <c r="EX79" s="4"/>
      <c r="EZ79" s="4"/>
      <c r="FQ79" s="4"/>
      <c r="FS79" s="4"/>
      <c r="GE79" s="2"/>
      <c r="GJ79" s="4"/>
      <c r="GS79" s="3"/>
      <c r="GU79" s="3"/>
      <c r="GY79" s="3"/>
      <c r="HB79" s="3"/>
      <c r="HP79" s="2"/>
      <c r="HS79" s="4"/>
      <c r="HU79" s="4"/>
      <c r="II79" s="4"/>
      <c r="IK79" s="4"/>
      <c r="IS79" s="2"/>
      <c r="IT79" s="2"/>
      <c r="IV79" s="2"/>
      <c r="IW79" s="4"/>
      <c r="IY79" s="4"/>
      <c r="JH79" s="2"/>
      <c r="JK79" s="4"/>
      <c r="JZ79" s="2"/>
      <c r="KD79" s="4"/>
      <c r="KF79" s="4"/>
      <c r="KJ79" s="4"/>
      <c r="KT79" s="2"/>
      <c r="KU79" s="2"/>
      <c r="KW79" s="2"/>
      <c r="LC79" s="2"/>
      <c r="LF79" s="2"/>
      <c r="LK79" s="2"/>
      <c r="LT79" s="4"/>
      <c r="LV79" s="4"/>
      <c r="MA79" s="3"/>
      <c r="NB79" s="2"/>
      <c r="NC79" s="2"/>
      <c r="NJ79" s="2"/>
      <c r="NN79" s="2"/>
      <c r="NO79" s="2"/>
      <c r="NT79" s="4"/>
      <c r="NV79" s="4"/>
      <c r="OA79" s="2"/>
      <c r="ON79" s="2"/>
      <c r="OR79" s="4"/>
      <c r="OT79" s="4"/>
      <c r="PD79" s="2"/>
      <c r="PH79" s="2"/>
      <c r="PQ79" s="2"/>
      <c r="PX79" s="2"/>
      <c r="PY79" s="3"/>
      <c r="PZ79" s="2"/>
      <c r="QF79" s="4"/>
      <c r="QH79" s="4"/>
      <c r="QZ79" s="2"/>
      <c r="RA79" s="2"/>
      <c r="RN79" s="4"/>
      <c r="RO79" s="4"/>
      <c r="RR79" s="2"/>
      <c r="RT79" s="2"/>
      <c r="RU79" s="2"/>
      <c r="SA79" s="4"/>
      <c r="SC79" s="4"/>
      <c r="SN79" s="2"/>
      <c r="SQ79" s="4"/>
      <c r="SS79" s="4"/>
      <c r="TG79" s="2"/>
      <c r="TH79" s="2"/>
      <c r="TI79" s="2"/>
      <c r="TU79" s="4"/>
      <c r="TW79" s="4"/>
    </row>
    <row r="80" spans="1:543">
      <c r="A80">
        <v>2598</v>
      </c>
      <c r="B80">
        <v>4494</v>
      </c>
      <c r="C80">
        <v>1951435961</v>
      </c>
      <c r="D80" t="s">
        <v>121</v>
      </c>
      <c r="E80" t="s">
        <v>431</v>
      </c>
      <c r="F80" t="s">
        <v>432</v>
      </c>
      <c r="G80" s="2">
        <v>33603</v>
      </c>
      <c r="H80" t="s">
        <v>30</v>
      </c>
      <c r="I80" t="s">
        <v>130</v>
      </c>
      <c r="J80" t="s">
        <v>32</v>
      </c>
      <c r="K80" t="s">
        <v>433</v>
      </c>
      <c r="L80" t="s">
        <v>95</v>
      </c>
      <c r="M80" s="2"/>
      <c r="N80" t="s">
        <v>434</v>
      </c>
      <c r="O80" s="2">
        <f>DATE(YEAR(G80) + P80, MONTH(G80), DAY(G80))</f>
        <v>57710</v>
      </c>
      <c r="P80">
        <v>66</v>
      </c>
      <c r="Q80" s="2">
        <v>45596</v>
      </c>
      <c r="R80" t="s">
        <v>36</v>
      </c>
      <c r="S80" t="s">
        <v>48</v>
      </c>
      <c r="T80" s="2">
        <v>45626</v>
      </c>
      <c r="U80" t="s">
        <v>65</v>
      </c>
      <c r="V80" t="s">
        <v>66</v>
      </c>
      <c r="W80">
        <v>18</v>
      </c>
      <c r="X80" s="1">
        <v>59792</v>
      </c>
      <c r="Y80" s="1">
        <v>11958.400000000001</v>
      </c>
      <c r="Z80" s="1">
        <v>47833.599999999999</v>
      </c>
      <c r="AA80" s="3">
        <v>738</v>
      </c>
      <c r="AK80" s="3"/>
      <c r="AM80" s="4"/>
      <c r="AO80" s="4"/>
      <c r="BA80" s="2"/>
      <c r="BB80" s="2"/>
      <c r="BD80" s="4"/>
      <c r="BF80" s="4"/>
      <c r="BM80" s="2"/>
      <c r="BO80" s="4"/>
      <c r="BQ80" s="4"/>
      <c r="CF80" s="3"/>
      <c r="CI80" s="2"/>
      <c r="CJ80" s="2"/>
      <c r="CN80" s="2"/>
      <c r="CQ80" s="2"/>
      <c r="CV80" s="4"/>
      <c r="CX80" s="4"/>
      <c r="DB80" s="2"/>
      <c r="DC80" s="2"/>
      <c r="DE80" s="2"/>
      <c r="DF80" s="2"/>
      <c r="DV80" s="2"/>
      <c r="DW80" s="2"/>
      <c r="EF80" s="4"/>
      <c r="EH80" s="4"/>
      <c r="ER80" s="2"/>
      <c r="ES80" s="2"/>
      <c r="EX80" s="4"/>
      <c r="EZ80" s="4"/>
      <c r="FQ80" s="4"/>
      <c r="FS80" s="4"/>
      <c r="GE80" s="2"/>
      <c r="GG80" s="3"/>
      <c r="GJ80" s="4"/>
      <c r="GL80" s="4"/>
      <c r="GR80" s="2"/>
      <c r="GT80" s="3"/>
      <c r="GU80" s="3"/>
      <c r="HB80" s="3"/>
      <c r="HP80" s="2"/>
      <c r="HS80" s="4"/>
      <c r="HU80" s="4"/>
      <c r="II80" s="4"/>
      <c r="IK80" s="4"/>
      <c r="IS80" s="2"/>
      <c r="IT80" s="2"/>
      <c r="IV80" s="2"/>
      <c r="IW80" s="4"/>
      <c r="IY80" s="4"/>
      <c r="JH80" s="2"/>
      <c r="JK80" s="4"/>
      <c r="JM80" s="4"/>
      <c r="JZ80" s="2"/>
      <c r="KD80" s="4"/>
      <c r="KF80" s="4"/>
      <c r="KJ80" s="4"/>
      <c r="KT80" s="2"/>
      <c r="KU80" s="2"/>
      <c r="KW80" s="2"/>
      <c r="LC80" s="2"/>
      <c r="LF80" s="2"/>
      <c r="LK80" s="2"/>
      <c r="LT80" s="4"/>
      <c r="LV80" s="4"/>
      <c r="ML80" s="3"/>
      <c r="NB80" s="2"/>
      <c r="NC80" s="2"/>
      <c r="NG80" s="5"/>
      <c r="NJ80" s="2"/>
      <c r="NN80" s="2"/>
      <c r="NO80" s="2"/>
      <c r="NT80" s="4"/>
      <c r="NV80" s="4"/>
      <c r="OA80" s="2"/>
      <c r="OB80" s="2"/>
      <c r="OK80" s="3"/>
      <c r="ON80" s="2"/>
      <c r="OO80" s="3"/>
      <c r="OR80" s="4"/>
      <c r="OT80" s="4"/>
      <c r="PD80" s="2"/>
      <c r="PH80" s="2"/>
      <c r="PN80" s="3"/>
      <c r="PQ80" s="2"/>
      <c r="PX80" s="2"/>
      <c r="PZ80" s="2"/>
      <c r="QF80" s="4"/>
      <c r="QH80" s="4"/>
      <c r="QZ80" s="2"/>
      <c r="RA80" s="2"/>
      <c r="RM80" s="3"/>
      <c r="RN80" s="4"/>
      <c r="RO80" s="4"/>
      <c r="RR80" s="2"/>
      <c r="RT80" s="2"/>
      <c r="RU80" s="2"/>
      <c r="SA80" s="4"/>
      <c r="SC80" s="4"/>
      <c r="SN80" s="2"/>
      <c r="SQ80" s="4"/>
      <c r="SS80" s="4"/>
      <c r="TG80" s="2"/>
      <c r="TH80" s="2"/>
      <c r="TI80" s="2"/>
      <c r="TU80" s="4"/>
      <c r="TW80" s="4"/>
    </row>
    <row r="81" spans="1:543">
      <c r="A81">
        <v>7021</v>
      </c>
      <c r="B81">
        <v>8447</v>
      </c>
      <c r="C81">
        <v>7802657459</v>
      </c>
      <c r="D81" t="s">
        <v>435</v>
      </c>
      <c r="E81" t="s">
        <v>436</v>
      </c>
      <c r="F81" t="s">
        <v>437</v>
      </c>
      <c r="G81" s="2">
        <v>40244</v>
      </c>
      <c r="H81" t="s">
        <v>43</v>
      </c>
      <c r="I81" t="s">
        <v>331</v>
      </c>
      <c r="J81" t="s">
        <v>32</v>
      </c>
      <c r="K81" t="s">
        <v>438</v>
      </c>
      <c r="L81" t="s">
        <v>95</v>
      </c>
      <c r="M81" s="2"/>
      <c r="N81" t="s">
        <v>439</v>
      </c>
      <c r="O81" s="2">
        <f>DATE(YEAR(G81) + P81, MONTH(G81), DAY(G81))</f>
        <v>64716</v>
      </c>
      <c r="P81">
        <v>67</v>
      </c>
      <c r="Q81" s="2"/>
      <c r="R81" t="s">
        <v>47</v>
      </c>
      <c r="S81" t="s">
        <v>48</v>
      </c>
      <c r="T81" s="2">
        <v>43290</v>
      </c>
      <c r="U81" t="s">
        <v>103</v>
      </c>
      <c r="V81" t="s">
        <v>39</v>
      </c>
      <c r="W81">
        <v>9</v>
      </c>
      <c r="X81" s="1">
        <v>25987</v>
      </c>
      <c r="Y81" s="1">
        <v>5197.4000000000005</v>
      </c>
      <c r="Z81" s="1">
        <v>20789.599999999999</v>
      </c>
      <c r="AA81" s="3">
        <v>870</v>
      </c>
      <c r="AK81" s="3"/>
      <c r="AM81" s="4"/>
      <c r="AO81" s="4"/>
      <c r="BA81" s="2"/>
      <c r="BB81" s="2"/>
      <c r="BD81" s="4"/>
      <c r="BF81" s="4"/>
      <c r="BM81" s="2"/>
      <c r="BO81" s="4"/>
      <c r="BQ81" s="4"/>
      <c r="CI81" s="2"/>
      <c r="CJ81" s="2"/>
      <c r="CQ81" s="2"/>
      <c r="CV81" s="4"/>
      <c r="CX81" s="4"/>
      <c r="CZ81" s="3"/>
      <c r="DB81" s="2"/>
      <c r="DC81" s="2"/>
      <c r="DD81" s="3"/>
      <c r="DE81" s="2"/>
      <c r="DF81" s="2"/>
      <c r="DV81" s="2"/>
      <c r="DW81" s="2"/>
      <c r="EF81" s="4"/>
      <c r="EH81" s="4"/>
      <c r="ER81" s="2"/>
      <c r="EX81" s="4"/>
      <c r="EZ81" s="4"/>
      <c r="FQ81" s="4"/>
      <c r="FS81" s="4"/>
      <c r="GE81" s="2"/>
      <c r="GJ81" s="4"/>
      <c r="GL81" s="4"/>
      <c r="GR81" s="2"/>
      <c r="GV81" s="2"/>
      <c r="GW81" s="3"/>
      <c r="HB81" s="3"/>
      <c r="HP81" s="2"/>
      <c r="HS81" s="4"/>
      <c r="HU81" s="4"/>
      <c r="IF81" s="3"/>
      <c r="IK81" s="4"/>
      <c r="IS81" s="2"/>
      <c r="IT81" s="2"/>
      <c r="IV81" s="2"/>
      <c r="IW81" s="4"/>
      <c r="IY81" s="4"/>
      <c r="JH81" s="2"/>
      <c r="JK81" s="4"/>
      <c r="JM81" s="4"/>
      <c r="KD81" s="4"/>
      <c r="KF81" s="4"/>
      <c r="KI81" s="3"/>
      <c r="KJ81" s="4"/>
      <c r="KT81" s="2"/>
      <c r="KU81" s="2"/>
      <c r="KW81" s="2"/>
      <c r="LC81" s="2"/>
      <c r="LF81" s="2"/>
      <c r="LK81" s="2"/>
      <c r="LT81" s="4"/>
      <c r="LV81" s="4"/>
      <c r="MN81" s="5"/>
      <c r="NB81" s="2"/>
      <c r="NC81" s="2"/>
      <c r="NJ81" s="2"/>
      <c r="NN81" s="2"/>
      <c r="NO81" s="2"/>
      <c r="NQ81" s="3"/>
      <c r="NT81" s="4"/>
      <c r="NV81" s="4"/>
      <c r="OA81" s="2"/>
      <c r="OB81" s="2"/>
      <c r="ON81" s="2"/>
      <c r="OR81" s="4"/>
      <c r="OT81" s="4"/>
      <c r="PD81" s="2"/>
      <c r="PH81" s="2"/>
      <c r="PN81" s="3"/>
      <c r="PQ81" s="2"/>
      <c r="PX81" s="2"/>
      <c r="PZ81" s="2"/>
      <c r="QF81" s="4"/>
      <c r="QH81" s="4"/>
      <c r="QZ81" s="2"/>
      <c r="RA81" s="2"/>
      <c r="RN81" s="4"/>
      <c r="RO81" s="4"/>
      <c r="RR81" s="2"/>
      <c r="RT81" s="2"/>
      <c r="RU81" s="2"/>
      <c r="SA81" s="4"/>
      <c r="SC81" s="4"/>
      <c r="SN81" s="2"/>
      <c r="SQ81" s="4"/>
      <c r="SS81" s="4"/>
      <c r="TG81" s="2"/>
      <c r="TH81" s="2"/>
      <c r="TI81" s="2"/>
      <c r="TU81" s="4"/>
      <c r="TW81" s="4"/>
    </row>
    <row r="82" spans="1:543">
      <c r="A82">
        <v>2307</v>
      </c>
      <c r="B82">
        <v>1479</v>
      </c>
      <c r="C82">
        <v>7736071051</v>
      </c>
      <c r="D82" t="s">
        <v>440</v>
      </c>
      <c r="E82" t="s">
        <v>441</v>
      </c>
      <c r="F82" t="s">
        <v>442</v>
      </c>
      <c r="G82" s="2">
        <v>39983</v>
      </c>
      <c r="H82" t="s">
        <v>43</v>
      </c>
      <c r="I82" t="s">
        <v>31</v>
      </c>
      <c r="J82" t="s">
        <v>32</v>
      </c>
      <c r="K82" t="s">
        <v>443</v>
      </c>
      <c r="L82" t="s">
        <v>34</v>
      </c>
      <c r="M82" s="2"/>
      <c r="N82" t="s">
        <v>444</v>
      </c>
      <c r="O82" s="2">
        <f>DATE(YEAR(G82) + P82, MONTH(G82), DAY(G82))</f>
        <v>64820</v>
      </c>
      <c r="P82">
        <v>68</v>
      </c>
      <c r="Q82" s="2"/>
      <c r="R82" t="s">
        <v>47</v>
      </c>
      <c r="S82" t="s">
        <v>64</v>
      </c>
      <c r="T82" s="2">
        <v>44140</v>
      </c>
      <c r="U82" t="s">
        <v>49</v>
      </c>
      <c r="V82" t="s">
        <v>38</v>
      </c>
      <c r="W82">
        <v>15</v>
      </c>
      <c r="X82" s="1">
        <v>31079</v>
      </c>
      <c r="Y82" s="1">
        <v>6215.8</v>
      </c>
      <c r="Z82" s="1">
        <v>24863.200000000001</v>
      </c>
      <c r="AA82" s="3">
        <v>587</v>
      </c>
      <c r="AK82" s="3"/>
      <c r="AM82" s="4"/>
      <c r="AO82" s="4"/>
      <c r="BA82" s="2"/>
      <c r="BB82" s="2"/>
      <c r="BD82" s="4"/>
      <c r="BF82" s="4"/>
      <c r="BM82" s="2"/>
      <c r="BO82" s="4"/>
      <c r="BQ82" s="4"/>
      <c r="CG82" s="3"/>
      <c r="CI82" s="2"/>
      <c r="CJ82" s="2"/>
      <c r="CN82" s="2"/>
      <c r="CQ82" s="2"/>
      <c r="CV82" s="4"/>
      <c r="CX82" s="4"/>
      <c r="DB82" s="2"/>
      <c r="DC82" s="2"/>
      <c r="DE82" s="2"/>
      <c r="DF82" s="2"/>
      <c r="DV82" s="2"/>
      <c r="DW82" s="2"/>
      <c r="EF82" s="4"/>
      <c r="EH82" s="4"/>
      <c r="ES82" s="2"/>
      <c r="EX82" s="4"/>
      <c r="EZ82" s="4"/>
      <c r="FQ82" s="4"/>
      <c r="FS82" s="4"/>
      <c r="GJ82" s="4"/>
      <c r="GR82" s="2"/>
      <c r="GS82" s="3"/>
      <c r="GU82" s="3"/>
      <c r="GV82" s="2"/>
      <c r="HB82" s="3"/>
      <c r="HP82" s="2"/>
      <c r="HS82" s="4"/>
      <c r="HU82" s="4"/>
      <c r="II82" s="4"/>
      <c r="IK82" s="4"/>
      <c r="IS82" s="2"/>
      <c r="IV82" s="2"/>
      <c r="IW82" s="4"/>
      <c r="IY82" s="4"/>
      <c r="JH82" s="2"/>
      <c r="JK82" s="4"/>
      <c r="JM82" s="4"/>
      <c r="JZ82" s="2"/>
      <c r="KD82" s="4"/>
      <c r="KF82" s="4"/>
      <c r="KJ82" s="4"/>
      <c r="KT82" s="2"/>
      <c r="KU82" s="2"/>
      <c r="KW82" s="2"/>
      <c r="LC82" s="2"/>
      <c r="LF82" s="2"/>
      <c r="LK82" s="2"/>
      <c r="LT82" s="4"/>
      <c r="LV82" s="4"/>
      <c r="MN82" s="5"/>
      <c r="NB82" s="2"/>
      <c r="NC82" s="2"/>
      <c r="NJ82" s="2"/>
      <c r="NN82" s="2"/>
      <c r="NT82" s="4"/>
      <c r="NV82" s="4"/>
      <c r="OA82" s="2"/>
      <c r="OB82" s="2"/>
      <c r="ON82" s="2"/>
      <c r="OR82" s="4"/>
      <c r="OT82" s="4"/>
      <c r="PD82" s="2"/>
      <c r="PH82" s="2"/>
      <c r="PQ82" s="2"/>
      <c r="PX82" s="2"/>
      <c r="PZ82" s="2"/>
      <c r="QF82" s="4"/>
      <c r="QH82" s="4"/>
      <c r="QZ82" s="2"/>
      <c r="RA82" s="2"/>
      <c r="RN82" s="4"/>
      <c r="RO82" s="4"/>
      <c r="RT82" s="2"/>
      <c r="RU82" s="2"/>
      <c r="SA82" s="4"/>
      <c r="SC82" s="4"/>
      <c r="SN82" s="2"/>
      <c r="SQ82" s="4"/>
      <c r="SS82" s="4"/>
      <c r="TG82" s="2"/>
      <c r="TH82" s="2"/>
      <c r="TI82" s="2"/>
      <c r="TN82" s="3"/>
      <c r="TU82" s="4"/>
      <c r="TW82" s="4"/>
    </row>
    <row r="83" spans="1:543">
      <c r="A83">
        <v>9440</v>
      </c>
      <c r="B83">
        <v>2743</v>
      </c>
      <c r="C83">
        <v>8873973786</v>
      </c>
      <c r="D83" t="s">
        <v>440</v>
      </c>
      <c r="E83" t="s">
        <v>445</v>
      </c>
      <c r="F83" t="s">
        <v>446</v>
      </c>
      <c r="G83" s="2">
        <v>40511</v>
      </c>
      <c r="H83" t="s">
        <v>43</v>
      </c>
      <c r="I83" t="s">
        <v>87</v>
      </c>
      <c r="J83" t="s">
        <v>61</v>
      </c>
      <c r="K83" t="s">
        <v>447</v>
      </c>
      <c r="L83" t="s">
        <v>77</v>
      </c>
      <c r="M83" s="2">
        <v>45290</v>
      </c>
      <c r="N83" t="s">
        <v>448</v>
      </c>
      <c r="O83" s="2">
        <f>DATE(YEAR(G83) + P83, MONTH(G83), DAY(G83))</f>
        <v>62791</v>
      </c>
      <c r="P83">
        <v>61</v>
      </c>
      <c r="Q83" s="2">
        <v>45237</v>
      </c>
      <c r="R83" t="s">
        <v>36</v>
      </c>
      <c r="S83" t="s">
        <v>48</v>
      </c>
      <c r="T83" s="2">
        <v>44127</v>
      </c>
      <c r="U83" t="s">
        <v>49</v>
      </c>
      <c r="V83" t="s">
        <v>39</v>
      </c>
      <c r="W83">
        <v>14</v>
      </c>
      <c r="X83" s="1">
        <v>50626</v>
      </c>
      <c r="Y83" s="1">
        <v>10125.200000000001</v>
      </c>
      <c r="Z83" s="1">
        <v>40500.800000000003</v>
      </c>
      <c r="AA83" s="3">
        <v>267</v>
      </c>
      <c r="AK83" s="3"/>
      <c r="AO83" s="4"/>
      <c r="BB83" s="2"/>
      <c r="BF83" s="4"/>
      <c r="BM83" s="2"/>
      <c r="BO83" s="4"/>
      <c r="BQ83" s="4"/>
      <c r="CI83" s="2"/>
      <c r="CJ83" s="2"/>
      <c r="CN83" s="2"/>
      <c r="CQ83" s="2"/>
      <c r="CV83" s="4"/>
      <c r="CX83" s="4"/>
      <c r="DB83" s="2"/>
      <c r="DC83" s="2"/>
      <c r="DE83" s="2"/>
      <c r="DF83" s="2"/>
      <c r="DV83" s="2"/>
      <c r="DW83" s="2"/>
      <c r="EF83" s="4"/>
      <c r="EH83" s="4"/>
      <c r="ES83" s="2"/>
      <c r="EU83" s="3"/>
      <c r="EX83" s="4"/>
      <c r="EZ83" s="4"/>
      <c r="FQ83" s="4"/>
      <c r="FS83" s="4"/>
      <c r="GE83" s="2"/>
      <c r="GJ83" s="4"/>
      <c r="GL83" s="4"/>
      <c r="GT83" s="3"/>
      <c r="GV83" s="2"/>
      <c r="GW83" s="3"/>
      <c r="GY83" s="3"/>
      <c r="HB83" s="3"/>
      <c r="HP83" s="2"/>
      <c r="HS83" s="4"/>
      <c r="HU83" s="4"/>
      <c r="II83" s="4"/>
      <c r="IK83" s="4"/>
      <c r="IS83" s="2"/>
      <c r="IT83" s="2"/>
      <c r="IV83" s="2"/>
      <c r="IW83" s="4"/>
      <c r="IY83" s="4"/>
      <c r="JH83" s="2"/>
      <c r="JK83" s="4"/>
      <c r="JZ83" s="2"/>
      <c r="KF83" s="4"/>
      <c r="KT83" s="2"/>
      <c r="KU83" s="2"/>
      <c r="KW83" s="2"/>
      <c r="LC83" s="2"/>
      <c r="LF83" s="2"/>
      <c r="LK83" s="2"/>
      <c r="LT83" s="4"/>
      <c r="LV83" s="4"/>
      <c r="MG83" s="3"/>
      <c r="MH83" s="3"/>
      <c r="NB83" s="2"/>
      <c r="NC83" s="2"/>
      <c r="NJ83" s="2"/>
      <c r="NN83" s="2"/>
      <c r="NO83" s="2"/>
      <c r="NT83" s="4"/>
      <c r="NV83" s="4"/>
      <c r="OA83" s="2"/>
      <c r="OB83" s="2"/>
      <c r="OR83" s="4"/>
      <c r="OT83" s="4"/>
      <c r="PD83" s="2"/>
      <c r="PH83" s="2"/>
      <c r="PQ83" s="2"/>
      <c r="PX83" s="2"/>
      <c r="PZ83" s="2"/>
      <c r="QF83" s="4"/>
      <c r="QH83" s="4"/>
      <c r="QX83" s="3"/>
      <c r="QZ83" s="2"/>
      <c r="RA83" s="2"/>
      <c r="RN83" s="4"/>
      <c r="RO83" s="4"/>
      <c r="RU83" s="2"/>
      <c r="SA83" s="4"/>
      <c r="SC83" s="4"/>
      <c r="SN83" s="2"/>
      <c r="SQ83" s="4"/>
      <c r="SS83" s="4"/>
      <c r="TG83" s="2"/>
      <c r="TH83" s="2"/>
      <c r="TI83" s="2"/>
      <c r="TU83" s="4"/>
      <c r="TW83" s="4"/>
    </row>
    <row r="84" spans="1:543">
      <c r="A84">
        <v>5356</v>
      </c>
      <c r="B84">
        <v>5376</v>
      </c>
      <c r="C84">
        <v>9555739225</v>
      </c>
      <c r="D84" t="s">
        <v>440</v>
      </c>
      <c r="E84" t="s">
        <v>449</v>
      </c>
      <c r="F84" t="s">
        <v>450</v>
      </c>
      <c r="G84" s="2">
        <v>40216</v>
      </c>
      <c r="H84" t="s">
        <v>30</v>
      </c>
      <c r="I84" t="s">
        <v>53</v>
      </c>
      <c r="J84" t="s">
        <v>32</v>
      </c>
      <c r="K84" t="s">
        <v>451</v>
      </c>
      <c r="L84" t="s">
        <v>95</v>
      </c>
      <c r="N84" t="s">
        <v>452</v>
      </c>
      <c r="O84" s="2">
        <f>DATE(YEAR(G84) + P84, MONTH(G84), DAY(G84))</f>
        <v>63957</v>
      </c>
      <c r="P84">
        <v>65</v>
      </c>
      <c r="Q84" s="2"/>
      <c r="R84" t="s">
        <v>47</v>
      </c>
      <c r="S84" t="s">
        <v>181</v>
      </c>
      <c r="T84" s="2">
        <v>41759</v>
      </c>
      <c r="U84" t="s">
        <v>133</v>
      </c>
      <c r="V84" t="s">
        <v>66</v>
      </c>
      <c r="W84">
        <v>21</v>
      </c>
      <c r="X84" s="1">
        <v>13863</v>
      </c>
      <c r="Y84" s="1">
        <v>2772.6000000000004</v>
      </c>
      <c r="Z84" s="1">
        <v>11090.4</v>
      </c>
      <c r="AA84" s="3">
        <v>115</v>
      </c>
      <c r="AK84" s="3"/>
      <c r="AM84" s="4"/>
      <c r="AO84" s="4"/>
      <c r="BA84" s="2"/>
      <c r="BB84" s="2"/>
      <c r="BD84" s="4"/>
      <c r="BF84" s="4"/>
      <c r="BM84" s="2"/>
      <c r="BO84" s="4"/>
      <c r="BQ84" s="4"/>
      <c r="CI84" s="2"/>
      <c r="CJ84" s="2"/>
      <c r="CK84" s="3"/>
      <c r="CL84" s="3"/>
      <c r="CN84" s="2"/>
      <c r="CQ84" s="2"/>
      <c r="CV84" s="4"/>
      <c r="CX84" s="4"/>
      <c r="DB84" s="2"/>
      <c r="DC84" s="2"/>
      <c r="DD84" s="3"/>
      <c r="DE84" s="2"/>
      <c r="DV84" s="2"/>
      <c r="DW84" s="2"/>
      <c r="EF84" s="4"/>
      <c r="EH84" s="4"/>
      <c r="ER84" s="2"/>
      <c r="ES84" s="2"/>
      <c r="EZ84" s="4"/>
      <c r="FQ84" s="4"/>
      <c r="FS84" s="4"/>
      <c r="GE84" s="2"/>
      <c r="GJ84" s="4"/>
      <c r="GL84" s="4"/>
      <c r="GV84" s="2"/>
      <c r="GW84" s="3"/>
      <c r="GX84" s="3"/>
      <c r="HB84" s="3"/>
      <c r="HP84" s="2"/>
      <c r="HS84" s="4"/>
      <c r="HU84" s="4"/>
      <c r="II84" s="4"/>
      <c r="IK84" s="4"/>
      <c r="IT84" s="2"/>
      <c r="IW84" s="4"/>
      <c r="IY84" s="4"/>
      <c r="JH84" s="2"/>
      <c r="JK84" s="4"/>
      <c r="JZ84" s="2"/>
      <c r="KD84" s="4"/>
      <c r="KF84" s="4"/>
      <c r="KJ84" s="4"/>
      <c r="KU84" s="2"/>
      <c r="KW84" s="2"/>
      <c r="LC84" s="2"/>
      <c r="LF84" s="2"/>
      <c r="LT84" s="4"/>
      <c r="LV84" s="4"/>
      <c r="MA84" s="3"/>
      <c r="ME84" s="3"/>
      <c r="NB84" s="2"/>
      <c r="NC84" s="2"/>
      <c r="NJ84" s="2"/>
      <c r="NN84" s="2"/>
      <c r="NO84" s="2"/>
      <c r="NT84" s="4"/>
      <c r="NV84" s="4"/>
      <c r="OA84" s="2"/>
      <c r="OB84" s="2"/>
      <c r="ON84" s="2"/>
      <c r="OO84" s="3"/>
      <c r="OR84" s="4"/>
      <c r="OT84" s="4"/>
      <c r="PD84" s="2"/>
      <c r="PH84" s="2"/>
      <c r="PP84" s="3"/>
      <c r="PQ84" s="2"/>
      <c r="PX84" s="2"/>
      <c r="PZ84" s="2"/>
      <c r="QF84" s="4"/>
      <c r="QH84" s="4"/>
      <c r="QJ84" s="3"/>
      <c r="QZ84" s="2"/>
      <c r="RA84" s="2"/>
      <c r="RN84" s="4"/>
      <c r="RO84" s="4"/>
      <c r="RR84" s="2"/>
      <c r="RT84" s="2"/>
      <c r="SA84" s="4"/>
      <c r="SC84" s="4"/>
      <c r="SN84" s="2"/>
      <c r="SQ84" s="4"/>
      <c r="SS84" s="4"/>
      <c r="TG84" s="2"/>
      <c r="TH84" s="2"/>
      <c r="TI84" s="2"/>
      <c r="TU84" s="4"/>
      <c r="TW84" s="4"/>
    </row>
    <row r="85" spans="1:543">
      <c r="A85">
        <v>913</v>
      </c>
      <c r="B85">
        <v>5515</v>
      </c>
      <c r="C85">
        <v>5798268104</v>
      </c>
      <c r="D85" t="s">
        <v>415</v>
      </c>
      <c r="E85" t="s">
        <v>453</v>
      </c>
      <c r="F85" t="s">
        <v>454</v>
      </c>
      <c r="G85" s="2">
        <v>29889</v>
      </c>
      <c r="H85" t="s">
        <v>43</v>
      </c>
      <c r="I85" t="s">
        <v>130</v>
      </c>
      <c r="J85" t="s">
        <v>32</v>
      </c>
      <c r="K85" t="s">
        <v>455</v>
      </c>
      <c r="L85" t="s">
        <v>95</v>
      </c>
      <c r="N85" t="s">
        <v>456</v>
      </c>
      <c r="O85" s="2">
        <f>DATE(YEAR(G85) + P85, MONTH(G85), DAY(G85))</f>
        <v>52900</v>
      </c>
      <c r="P85">
        <v>63</v>
      </c>
      <c r="Q85" s="2"/>
      <c r="R85" t="s">
        <v>47</v>
      </c>
      <c r="S85" t="s">
        <v>64</v>
      </c>
      <c r="T85" s="2">
        <v>38853</v>
      </c>
      <c r="U85" t="s">
        <v>65</v>
      </c>
      <c r="V85" t="s">
        <v>66</v>
      </c>
      <c r="W85">
        <v>16</v>
      </c>
      <c r="X85" s="1">
        <v>24989</v>
      </c>
      <c r="Y85" s="1">
        <v>4997.8</v>
      </c>
      <c r="Z85" s="1">
        <v>19991.2</v>
      </c>
      <c r="AA85" s="3">
        <v>849</v>
      </c>
      <c r="AJ85" s="3"/>
      <c r="AK85" s="3"/>
      <c r="AM85" s="4"/>
      <c r="AO85" s="4"/>
      <c r="BA85" s="2"/>
      <c r="BB85" s="2"/>
      <c r="BD85" s="4"/>
      <c r="BF85" s="4"/>
      <c r="BM85" s="2"/>
      <c r="BO85" s="4"/>
      <c r="BQ85" s="4"/>
      <c r="CI85" s="2"/>
      <c r="CJ85" s="2"/>
      <c r="CN85" s="2"/>
      <c r="CQ85" s="2"/>
      <c r="CV85" s="4"/>
      <c r="CX85" s="4"/>
      <c r="DB85" s="2"/>
      <c r="DC85" s="2"/>
      <c r="DE85" s="2"/>
      <c r="DF85" s="2"/>
      <c r="DV85" s="2"/>
      <c r="DW85" s="2"/>
      <c r="EF85" s="4"/>
      <c r="EH85" s="4"/>
      <c r="ER85" s="2"/>
      <c r="ES85" s="2"/>
      <c r="EX85" s="4"/>
      <c r="EZ85" s="4"/>
      <c r="FQ85" s="4"/>
      <c r="FS85" s="4"/>
      <c r="GE85" s="2"/>
      <c r="GJ85" s="4"/>
      <c r="GL85" s="4"/>
      <c r="GR85" s="2"/>
      <c r="GS85" s="3"/>
      <c r="GV85" s="2"/>
      <c r="GX85" s="3"/>
      <c r="HB85" s="3"/>
      <c r="HP85" s="2"/>
      <c r="HS85" s="4"/>
      <c r="HU85" s="4"/>
      <c r="IF85" s="3"/>
      <c r="II85" s="4"/>
      <c r="IK85" s="4"/>
      <c r="IS85" s="2"/>
      <c r="IT85" s="2"/>
      <c r="IY85" s="4"/>
      <c r="JH85" s="2"/>
      <c r="JK85" s="4"/>
      <c r="JM85" s="4"/>
      <c r="JZ85" s="2"/>
      <c r="KD85" s="4"/>
      <c r="KJ85" s="4"/>
      <c r="KT85" s="2"/>
      <c r="KU85" s="2"/>
      <c r="KW85" s="2"/>
      <c r="LC85" s="2"/>
      <c r="LF85" s="2"/>
      <c r="LH85" s="3"/>
      <c r="LK85" s="2"/>
      <c r="LT85" s="4"/>
      <c r="LV85" s="4"/>
      <c r="ML85" s="3"/>
      <c r="NB85" s="2"/>
      <c r="NC85" s="2"/>
      <c r="NJ85" s="2"/>
      <c r="NN85" s="2"/>
      <c r="NO85" s="2"/>
      <c r="NT85" s="4"/>
      <c r="NV85" s="4"/>
      <c r="OA85" s="2"/>
      <c r="OB85" s="2"/>
      <c r="OJ85" s="3"/>
      <c r="ON85" s="2"/>
      <c r="OR85" s="4"/>
      <c r="OT85" s="4"/>
      <c r="PD85" s="2"/>
      <c r="PH85" s="2"/>
      <c r="PI85" s="3"/>
      <c r="PQ85" s="2"/>
      <c r="PX85" s="2"/>
      <c r="PY85" s="3"/>
      <c r="PZ85" s="2"/>
      <c r="QF85" s="4"/>
      <c r="QH85" s="4"/>
      <c r="QZ85" s="2"/>
      <c r="RA85" s="2"/>
      <c r="RN85" s="4"/>
      <c r="RR85" s="2"/>
      <c r="RT85" s="2"/>
      <c r="RU85" s="2"/>
      <c r="SA85" s="4"/>
      <c r="SC85" s="4"/>
      <c r="SN85" s="2"/>
      <c r="SQ85" s="4"/>
      <c r="SS85" s="4"/>
      <c r="TG85" s="2"/>
      <c r="TH85" s="2"/>
      <c r="TI85" s="2"/>
      <c r="TO85" s="3"/>
      <c r="TU85" s="4"/>
      <c r="TW85" s="4"/>
    </row>
    <row r="86" spans="1:543">
      <c r="A86">
        <v>7286</v>
      </c>
      <c r="B86">
        <v>7437</v>
      </c>
      <c r="C86" s="3" t="s">
        <v>457</v>
      </c>
      <c r="D86" t="s">
        <v>316</v>
      </c>
      <c r="E86" t="s">
        <v>458</v>
      </c>
      <c r="F86" t="s">
        <v>459</v>
      </c>
      <c r="G86" s="2">
        <v>34747</v>
      </c>
      <c r="H86" t="s">
        <v>43</v>
      </c>
      <c r="I86" t="s">
        <v>60</v>
      </c>
      <c r="J86" t="s">
        <v>32</v>
      </c>
      <c r="K86" t="s">
        <v>460</v>
      </c>
      <c r="L86" t="s">
        <v>34</v>
      </c>
      <c r="M86" s="2"/>
      <c r="N86" t="s">
        <v>461</v>
      </c>
      <c r="O86" s="2">
        <f>DATE(YEAR(G86) + P86, MONTH(G86), DAY(G86))</f>
        <v>58854</v>
      </c>
      <c r="P86">
        <v>66</v>
      </c>
      <c r="Q86" s="2">
        <v>31697</v>
      </c>
      <c r="R86" t="s">
        <v>36</v>
      </c>
      <c r="S86" t="s">
        <v>109</v>
      </c>
      <c r="T86" t="s">
        <v>462</v>
      </c>
      <c r="U86" t="s">
        <v>38</v>
      </c>
      <c r="V86" t="s">
        <v>56</v>
      </c>
      <c r="W86">
        <v>16</v>
      </c>
      <c r="X86" s="1">
        <v>41781</v>
      </c>
      <c r="Y86" s="1">
        <v>8356.2000000000007</v>
      </c>
      <c r="Z86" s="1">
        <v>33424.800000000003</v>
      </c>
      <c r="AA86" s="3">
        <v>124</v>
      </c>
      <c r="AK86" s="3"/>
      <c r="AM86" s="4"/>
      <c r="AO86" s="4"/>
      <c r="BA86" s="2"/>
      <c r="BB86" s="2"/>
      <c r="BD86" s="4"/>
      <c r="BF86" s="4"/>
      <c r="BM86" s="2"/>
      <c r="BO86" s="4"/>
      <c r="BQ86" s="4"/>
      <c r="CF86" s="3"/>
      <c r="CI86" s="2"/>
      <c r="CJ86" s="2"/>
      <c r="CN86" s="2"/>
      <c r="CQ86" s="2"/>
      <c r="CV86" s="4"/>
      <c r="CX86" s="4"/>
      <c r="DB86" s="2"/>
      <c r="DC86" s="2"/>
      <c r="DE86" s="2"/>
      <c r="DF86" s="2"/>
      <c r="DV86" s="2"/>
      <c r="DW86" s="2"/>
      <c r="EF86" s="4"/>
      <c r="EH86" s="4"/>
      <c r="ER86" s="2"/>
      <c r="ES86" s="2"/>
      <c r="EX86" s="4"/>
      <c r="EZ86" s="4"/>
      <c r="FQ86" s="4"/>
      <c r="FS86" s="4"/>
      <c r="GE86" s="2"/>
      <c r="GJ86" s="4"/>
      <c r="GL86" s="4"/>
      <c r="GR86" s="2"/>
      <c r="GS86" s="3"/>
      <c r="GW86" s="3"/>
      <c r="HB86" s="3"/>
      <c r="HP86" s="2"/>
      <c r="HS86" s="4"/>
      <c r="II86" s="4"/>
      <c r="IK86" s="4"/>
      <c r="IS86" s="2"/>
      <c r="IT86" s="2"/>
      <c r="IV86" s="2"/>
      <c r="IW86" s="4"/>
      <c r="JH86" s="2"/>
      <c r="JK86" s="4"/>
      <c r="JM86" s="4"/>
      <c r="KD86" s="4"/>
      <c r="KF86" s="4"/>
      <c r="KJ86" s="4"/>
      <c r="KT86" s="2"/>
      <c r="KU86" s="2"/>
      <c r="KW86" s="2"/>
      <c r="LC86" s="2"/>
      <c r="LF86" s="2"/>
      <c r="LK86" s="2"/>
      <c r="LT86" s="4"/>
      <c r="LV86" s="4"/>
      <c r="MB86" s="3"/>
      <c r="NB86" s="2"/>
      <c r="NC86" s="2"/>
      <c r="NH86" s="3"/>
      <c r="NJ86" s="2"/>
      <c r="NN86" s="2"/>
      <c r="NO86" s="2"/>
      <c r="NT86" s="4"/>
      <c r="NV86" s="4"/>
      <c r="OA86" s="2"/>
      <c r="OB86" s="2"/>
      <c r="ON86" s="2"/>
      <c r="OR86" s="4"/>
      <c r="OT86" s="4"/>
      <c r="PD86" s="2"/>
      <c r="PH86" s="2"/>
      <c r="PQ86" s="2"/>
      <c r="PX86" s="2"/>
      <c r="PY86" s="3"/>
      <c r="PZ86" s="2"/>
      <c r="QH86" s="4"/>
      <c r="QZ86" s="2"/>
      <c r="RA86" s="2"/>
      <c r="RN86" s="4"/>
      <c r="RO86" s="4"/>
      <c r="RR86" s="2"/>
      <c r="RT86" s="2"/>
      <c r="RU86" s="2"/>
      <c r="SC86" s="4"/>
      <c r="SQ86" s="4"/>
      <c r="TG86" s="2"/>
      <c r="TH86" s="2"/>
      <c r="TI86" s="2"/>
      <c r="TP86" s="3"/>
      <c r="TU86" s="4"/>
      <c r="TW86" s="4"/>
    </row>
    <row r="87" spans="1:543">
      <c r="A87">
        <v>2559</v>
      </c>
      <c r="B87">
        <v>2898</v>
      </c>
      <c r="C87">
        <v>3681967135</v>
      </c>
      <c r="D87" t="s">
        <v>463</v>
      </c>
      <c r="E87" t="s">
        <v>464</v>
      </c>
      <c r="F87" t="s">
        <v>465</v>
      </c>
      <c r="G87" s="2">
        <v>29540</v>
      </c>
      <c r="H87" t="s">
        <v>30</v>
      </c>
      <c r="I87" t="s">
        <v>407</v>
      </c>
      <c r="J87" t="s">
        <v>32</v>
      </c>
      <c r="K87" t="s">
        <v>466</v>
      </c>
      <c r="L87" t="s">
        <v>34</v>
      </c>
      <c r="M87" s="2"/>
      <c r="N87" t="s">
        <v>467</v>
      </c>
      <c r="O87" s="2">
        <f>DATE(YEAR(G87) + P87, MONTH(G87), DAY(G87))</f>
        <v>52185</v>
      </c>
      <c r="P87">
        <v>62</v>
      </c>
      <c r="Q87" s="2"/>
      <c r="R87" t="s">
        <v>47</v>
      </c>
      <c r="S87" t="s">
        <v>109</v>
      </c>
      <c r="T87" s="2">
        <v>24412</v>
      </c>
      <c r="U87" t="s">
        <v>38</v>
      </c>
      <c r="V87" t="s">
        <v>38</v>
      </c>
      <c r="W87">
        <v>8</v>
      </c>
      <c r="X87" s="1">
        <v>87597</v>
      </c>
      <c r="Y87" s="1">
        <v>17519.400000000001</v>
      </c>
      <c r="Z87" s="1">
        <v>70077.600000000006</v>
      </c>
      <c r="AA87" s="3">
        <v>718</v>
      </c>
      <c r="AK87" s="3"/>
      <c r="AM87" s="4"/>
      <c r="AO87" s="4"/>
      <c r="BA87" s="2"/>
      <c r="BB87" s="2"/>
      <c r="BD87" s="4"/>
      <c r="BF87" s="4"/>
      <c r="BM87" s="2"/>
      <c r="BO87" s="4"/>
      <c r="BQ87" s="4"/>
      <c r="CI87" s="2"/>
      <c r="CJ87" s="2"/>
      <c r="CK87" s="3"/>
      <c r="CN87" s="2"/>
      <c r="CQ87" s="2"/>
      <c r="CV87" s="4"/>
      <c r="CX87" s="4"/>
      <c r="DB87" s="2"/>
      <c r="DC87" s="2"/>
      <c r="DE87" s="2"/>
      <c r="DF87" s="2"/>
      <c r="DV87" s="2"/>
      <c r="DW87" s="2"/>
      <c r="EF87" s="4"/>
      <c r="EH87" s="4"/>
      <c r="ER87" s="2"/>
      <c r="ES87" s="2"/>
      <c r="EX87" s="4"/>
      <c r="FQ87" s="4"/>
      <c r="FS87" s="4"/>
      <c r="GE87" s="2"/>
      <c r="GJ87" s="4"/>
      <c r="GR87" s="2"/>
      <c r="GT87" s="3"/>
      <c r="GV87" s="2"/>
      <c r="GW87" s="3"/>
      <c r="GX87" s="3"/>
      <c r="HB87" s="3"/>
      <c r="HP87" s="2"/>
      <c r="HS87" s="4"/>
      <c r="HU87" s="4"/>
      <c r="II87" s="4"/>
      <c r="IK87" s="4"/>
      <c r="IS87" s="2"/>
      <c r="IT87" s="2"/>
      <c r="IV87" s="2"/>
      <c r="IW87" s="4"/>
      <c r="IY87" s="4"/>
      <c r="JH87" s="2"/>
      <c r="JK87" s="4"/>
      <c r="JM87" s="4"/>
      <c r="JZ87" s="2"/>
      <c r="KC87" s="3"/>
      <c r="KD87" s="4"/>
      <c r="KF87" s="4"/>
      <c r="KJ87" s="4"/>
      <c r="KU87" s="2"/>
      <c r="KW87" s="2"/>
      <c r="LC87" s="2"/>
      <c r="LF87" s="2"/>
      <c r="LK87" s="2"/>
      <c r="LT87" s="4"/>
      <c r="LV87" s="4"/>
      <c r="NB87" s="2"/>
      <c r="NC87" s="2"/>
      <c r="NJ87" s="2"/>
      <c r="NN87" s="2"/>
      <c r="NO87" s="2"/>
      <c r="NT87" s="4"/>
      <c r="NV87" s="4"/>
      <c r="OB87" s="2"/>
      <c r="ON87" s="2"/>
      <c r="OR87" s="4"/>
      <c r="OT87" s="4"/>
      <c r="PD87" s="2"/>
      <c r="PH87" s="2"/>
      <c r="PP87" s="3"/>
      <c r="PQ87" s="2"/>
      <c r="PX87" s="2"/>
      <c r="PZ87" s="2"/>
      <c r="QF87" s="4"/>
      <c r="QZ87" s="2"/>
      <c r="RA87" s="2"/>
      <c r="RN87" s="4"/>
      <c r="RO87" s="4"/>
      <c r="RR87" s="2"/>
      <c r="RT87" s="2"/>
      <c r="RU87" s="2"/>
      <c r="SA87" s="4"/>
      <c r="SC87" s="4"/>
      <c r="SN87" s="2"/>
      <c r="SQ87" s="4"/>
      <c r="SS87" s="4"/>
      <c r="TG87" s="2"/>
      <c r="TH87" s="2"/>
      <c r="TI87" s="2"/>
      <c r="TU87" s="4"/>
      <c r="TW87" s="4"/>
    </row>
    <row r="88" spans="1:543">
      <c r="A88">
        <v>8149</v>
      </c>
      <c r="B88">
        <v>3543</v>
      </c>
      <c r="C88">
        <v>5990835775</v>
      </c>
      <c r="D88" t="s">
        <v>463</v>
      </c>
      <c r="E88" t="s">
        <v>468</v>
      </c>
      <c r="F88" t="s">
        <v>469</v>
      </c>
      <c r="G88" s="2">
        <v>36585</v>
      </c>
      <c r="H88" t="s">
        <v>30</v>
      </c>
      <c r="I88" t="s">
        <v>31</v>
      </c>
      <c r="J88" t="s">
        <v>32</v>
      </c>
      <c r="K88" t="s">
        <v>470</v>
      </c>
      <c r="L88" t="s">
        <v>77</v>
      </c>
      <c r="M88" s="2"/>
      <c r="N88" t="s">
        <v>471</v>
      </c>
      <c r="O88" s="2">
        <f>DATE(YEAR(G88) + P88, MONTH(G88), DAY(G88))</f>
        <v>61788</v>
      </c>
      <c r="P88">
        <v>69</v>
      </c>
      <c r="Q88" s="2">
        <v>32271</v>
      </c>
      <c r="R88" t="s">
        <v>36</v>
      </c>
      <c r="S88" t="s">
        <v>37</v>
      </c>
      <c r="T88" s="2">
        <v>40275</v>
      </c>
      <c r="U88" t="s">
        <v>103</v>
      </c>
      <c r="V88" t="s">
        <v>38</v>
      </c>
      <c r="W88">
        <v>19</v>
      </c>
      <c r="X88" s="1">
        <v>88343</v>
      </c>
      <c r="Y88" s="1">
        <v>17668.600000000002</v>
      </c>
      <c r="Z88" s="1">
        <v>70674.399999999994</v>
      </c>
      <c r="AA88" s="3">
        <v>822</v>
      </c>
      <c r="AK88" s="3"/>
      <c r="AM88" s="4"/>
      <c r="AO88" s="4"/>
      <c r="BA88" s="2"/>
      <c r="BB88" s="2"/>
      <c r="BD88" s="4"/>
      <c r="BM88" s="2"/>
      <c r="BO88" s="4"/>
      <c r="BQ88" s="4"/>
      <c r="CH88" s="3"/>
      <c r="CI88" s="2"/>
      <c r="CJ88" s="2"/>
      <c r="CN88" s="2"/>
      <c r="CQ88" s="2"/>
      <c r="CV88" s="4"/>
      <c r="CX88" s="4"/>
      <c r="DB88" s="2"/>
      <c r="DC88" s="2"/>
      <c r="DE88" s="2"/>
      <c r="DF88" s="2"/>
      <c r="DV88" s="2"/>
      <c r="DW88" s="2"/>
      <c r="EF88" s="4"/>
      <c r="EH88" s="4"/>
      <c r="ER88" s="2"/>
      <c r="ES88" s="2"/>
      <c r="EZ88" s="4"/>
      <c r="FQ88" s="4"/>
      <c r="FS88" s="4"/>
      <c r="GE88" s="2"/>
      <c r="GJ88" s="4"/>
      <c r="GL88" s="4"/>
      <c r="GS88" s="3"/>
      <c r="GV88" s="2"/>
      <c r="GW88" s="3"/>
      <c r="GX88" s="3"/>
      <c r="GY88" s="3"/>
      <c r="HB88" s="3"/>
      <c r="HP88" s="2"/>
      <c r="HS88" s="4"/>
      <c r="HU88" s="4"/>
      <c r="II88" s="4"/>
      <c r="IK88" s="4"/>
      <c r="IS88" s="2"/>
      <c r="IT88" s="2"/>
      <c r="IV88" s="2"/>
      <c r="IW88" s="4"/>
      <c r="JH88" s="2"/>
      <c r="JK88" s="4"/>
      <c r="JM88" s="4"/>
      <c r="JZ88" s="2"/>
      <c r="KC88" s="3"/>
      <c r="KD88" s="4"/>
      <c r="KF88" s="4"/>
      <c r="KJ88" s="4"/>
      <c r="KT88" s="2"/>
      <c r="KU88" s="2"/>
      <c r="KW88" s="2"/>
      <c r="LC88" s="2"/>
      <c r="LF88" s="2"/>
      <c r="LT88" s="4"/>
      <c r="LV88" s="4"/>
      <c r="NB88" s="2"/>
      <c r="NJ88" s="2"/>
      <c r="NN88" s="2"/>
      <c r="NO88" s="2"/>
      <c r="NT88" s="4"/>
      <c r="NV88" s="4"/>
      <c r="OA88" s="2"/>
      <c r="OB88" s="2"/>
      <c r="OJ88" s="3"/>
      <c r="ON88" s="2"/>
      <c r="OR88" s="4"/>
      <c r="OT88" s="4"/>
      <c r="PD88" s="2"/>
      <c r="PH88" s="2"/>
      <c r="PQ88" s="2"/>
      <c r="PZ88" s="2"/>
      <c r="QF88" s="4"/>
      <c r="QH88" s="4"/>
      <c r="QX88" s="3"/>
      <c r="QZ88" s="2"/>
      <c r="RA88" s="2"/>
      <c r="RN88" s="4"/>
      <c r="RO88" s="4"/>
      <c r="RR88" s="2"/>
      <c r="RT88" s="2"/>
      <c r="RU88" s="2"/>
      <c r="SC88" s="4"/>
      <c r="SN88" s="2"/>
      <c r="SS88" s="4"/>
      <c r="TG88" s="2"/>
      <c r="TH88" s="2"/>
      <c r="TI88" s="2"/>
      <c r="TU88" s="4"/>
      <c r="TW88" s="4"/>
    </row>
    <row r="89" spans="1:543">
      <c r="A89">
        <v>7064</v>
      </c>
      <c r="B89">
        <v>6306</v>
      </c>
      <c r="C89" s="3" t="s">
        <v>472</v>
      </c>
      <c r="D89" t="s">
        <v>72</v>
      </c>
      <c r="E89" t="s">
        <v>473</v>
      </c>
      <c r="F89" t="s">
        <v>474</v>
      </c>
      <c r="G89" s="2">
        <v>32195</v>
      </c>
      <c r="H89" t="s">
        <v>30</v>
      </c>
      <c r="I89" t="s">
        <v>75</v>
      </c>
      <c r="J89" t="s">
        <v>32</v>
      </c>
      <c r="K89" t="s">
        <v>475</v>
      </c>
      <c r="L89" t="s">
        <v>34</v>
      </c>
      <c r="M89" s="2"/>
      <c r="N89" t="s">
        <v>476</v>
      </c>
      <c r="O89" s="2">
        <f>DATE(YEAR(G89) + P89, MONTH(G89), DAY(G89))</f>
        <v>57398</v>
      </c>
      <c r="P89">
        <v>69</v>
      </c>
      <c r="Q89" s="2"/>
      <c r="R89" t="s">
        <v>47</v>
      </c>
      <c r="S89" t="s">
        <v>37</v>
      </c>
      <c r="T89" s="2">
        <v>44293</v>
      </c>
      <c r="U89" t="s">
        <v>103</v>
      </c>
      <c r="V89" t="s">
        <v>66</v>
      </c>
      <c r="W89">
        <v>10</v>
      </c>
      <c r="X89" s="1">
        <v>2078</v>
      </c>
      <c r="Y89" s="1">
        <v>415.6</v>
      </c>
      <c r="Z89" s="1">
        <v>1662.4</v>
      </c>
      <c r="AA89" s="3">
        <v>446</v>
      </c>
      <c r="AB89" s="3"/>
      <c r="AK89" s="3"/>
      <c r="AM89" s="4"/>
      <c r="AO89" s="4"/>
      <c r="BA89" s="2"/>
      <c r="BB89" s="2"/>
      <c r="BD89" s="4"/>
      <c r="BF89" s="4"/>
      <c r="BM89" s="2"/>
      <c r="BO89" s="4"/>
      <c r="BQ89" s="4"/>
      <c r="CI89" s="2"/>
      <c r="CN89" s="2"/>
      <c r="CQ89" s="2"/>
      <c r="CV89" s="4"/>
      <c r="CX89" s="4"/>
      <c r="DC89" s="2"/>
      <c r="DE89" s="2"/>
      <c r="DF89" s="2"/>
      <c r="DV89" s="2"/>
      <c r="DW89" s="2"/>
      <c r="EF89" s="4"/>
      <c r="EH89" s="4"/>
      <c r="ER89" s="2"/>
      <c r="ES89" s="2"/>
      <c r="EX89" s="4"/>
      <c r="EZ89" s="4"/>
      <c r="FQ89" s="4"/>
      <c r="FS89" s="4"/>
      <c r="GE89" s="2"/>
      <c r="GJ89" s="4"/>
      <c r="GL89" s="4"/>
      <c r="GR89" s="2"/>
      <c r="GV89" s="2"/>
      <c r="GX89" s="3"/>
      <c r="GY89" s="3"/>
      <c r="HB89" s="3"/>
      <c r="HS89" s="4"/>
      <c r="HU89" s="4"/>
      <c r="II89" s="4"/>
      <c r="IK89" s="4"/>
      <c r="IS89" s="2"/>
      <c r="IT89" s="2"/>
      <c r="IV89" s="2"/>
      <c r="IW89" s="4"/>
      <c r="IY89" s="4"/>
      <c r="JH89" s="2"/>
      <c r="JK89" s="4"/>
      <c r="JM89" s="4"/>
      <c r="KD89" s="4"/>
      <c r="KF89" s="4"/>
      <c r="KJ89" s="4"/>
      <c r="KT89" s="2"/>
      <c r="KW89" s="2"/>
      <c r="LC89" s="2"/>
      <c r="LF89" s="2"/>
      <c r="LK89" s="2"/>
      <c r="LT89" s="4"/>
      <c r="NB89" s="2"/>
      <c r="NC89" s="2"/>
      <c r="NH89" s="3"/>
      <c r="NJ89" s="2"/>
      <c r="NN89" s="2"/>
      <c r="NO89" s="2"/>
      <c r="NT89" s="4"/>
      <c r="NV89" s="4"/>
      <c r="OA89" s="2"/>
      <c r="OB89" s="2"/>
      <c r="OK89" s="3"/>
      <c r="ON89" s="2"/>
      <c r="OR89" s="4"/>
      <c r="OT89" s="4"/>
      <c r="PD89" s="2"/>
      <c r="PH89" s="2"/>
      <c r="PQ89" s="2"/>
      <c r="PX89" s="2"/>
      <c r="PY89" s="3"/>
      <c r="PZ89" s="2"/>
      <c r="QF89" s="4"/>
      <c r="QH89" s="4"/>
      <c r="QZ89" s="2"/>
      <c r="RA89" s="2"/>
      <c r="RN89" s="4"/>
      <c r="RO89" s="4"/>
      <c r="RR89" s="2"/>
      <c r="RT89" s="2"/>
      <c r="RU89" s="2"/>
      <c r="SA89" s="4"/>
      <c r="SN89" s="2"/>
      <c r="SQ89" s="4"/>
      <c r="SS89" s="4"/>
      <c r="TG89" s="2"/>
      <c r="TH89" s="2"/>
      <c r="TI89" s="2"/>
      <c r="TU89" s="4"/>
      <c r="TW89" s="4"/>
    </row>
    <row r="90" spans="1:543">
      <c r="A90">
        <v>8800</v>
      </c>
      <c r="B90">
        <v>5512</v>
      </c>
      <c r="C90" s="3" t="s">
        <v>477</v>
      </c>
      <c r="D90" t="s">
        <v>478</v>
      </c>
      <c r="E90" t="s">
        <v>479</v>
      </c>
      <c r="F90" t="s">
        <v>480</v>
      </c>
      <c r="G90" s="2">
        <v>39451</v>
      </c>
      <c r="H90" t="s">
        <v>30</v>
      </c>
      <c r="I90" t="s">
        <v>137</v>
      </c>
      <c r="J90" t="s">
        <v>32</v>
      </c>
      <c r="K90" t="s">
        <v>481</v>
      </c>
      <c r="L90" t="s">
        <v>34</v>
      </c>
      <c r="M90" s="2">
        <v>44841</v>
      </c>
      <c r="N90" t="s">
        <v>482</v>
      </c>
      <c r="O90" s="2">
        <f>DATE(YEAR(G90) + P90, MONTH(G90), DAY(G90))</f>
        <v>63193</v>
      </c>
      <c r="P90">
        <v>65</v>
      </c>
      <c r="Q90" s="2"/>
      <c r="R90" t="s">
        <v>47</v>
      </c>
      <c r="S90" t="s">
        <v>102</v>
      </c>
      <c r="T90" t="s">
        <v>483</v>
      </c>
      <c r="U90" t="s">
        <v>49</v>
      </c>
      <c r="V90" t="s">
        <v>56</v>
      </c>
      <c r="W90">
        <v>10</v>
      </c>
      <c r="X90" s="1">
        <v>20069</v>
      </c>
      <c r="Y90" s="1">
        <v>4013.8</v>
      </c>
      <c r="Z90" s="1">
        <v>16055.2</v>
      </c>
      <c r="AA90" s="3">
        <v>29</v>
      </c>
      <c r="AK90" s="3"/>
      <c r="AM90" s="4"/>
      <c r="AO90" s="4"/>
      <c r="BA90" s="2"/>
      <c r="BB90" s="2"/>
      <c r="BD90" s="4"/>
      <c r="BF90" s="4"/>
      <c r="BM90" s="2"/>
      <c r="BO90" s="4"/>
      <c r="BQ90" s="4"/>
      <c r="CI90" s="2"/>
      <c r="CJ90" s="2"/>
      <c r="CN90" s="2"/>
      <c r="CP90" s="3"/>
      <c r="CQ90" s="2"/>
      <c r="CV90" s="4"/>
      <c r="CX90" s="4"/>
      <c r="DB90" s="2"/>
      <c r="DC90" s="2"/>
      <c r="DE90" s="2"/>
      <c r="DF90" s="2"/>
      <c r="DV90" s="2"/>
      <c r="DW90" s="2"/>
      <c r="DY90" s="3"/>
      <c r="EF90" s="4"/>
      <c r="EH90" s="4"/>
      <c r="ER90" s="2"/>
      <c r="ES90" s="2"/>
      <c r="EZ90" s="4"/>
      <c r="FQ90" s="4"/>
      <c r="FS90" s="4"/>
      <c r="GD90" s="3"/>
      <c r="GE90" s="2"/>
      <c r="GJ90" s="4"/>
      <c r="GL90" s="4"/>
      <c r="GR90" s="2"/>
      <c r="GS90" s="3"/>
      <c r="GV90" s="2"/>
      <c r="GY90" s="3"/>
      <c r="HB90" s="3"/>
      <c r="HP90" s="2"/>
      <c r="HS90" s="4"/>
      <c r="HU90" s="4"/>
      <c r="II90" s="4"/>
      <c r="IK90" s="4"/>
      <c r="IS90" s="2"/>
      <c r="IT90" s="2"/>
      <c r="IV90" s="2"/>
      <c r="IW90" s="4"/>
      <c r="IY90" s="4"/>
      <c r="JH90" s="2"/>
      <c r="JK90" s="4"/>
      <c r="JM90" s="4"/>
      <c r="JZ90" s="2"/>
      <c r="KD90" s="4"/>
      <c r="KF90" s="4"/>
      <c r="KJ90" s="4"/>
      <c r="KT90" s="2"/>
      <c r="KU90" s="2"/>
      <c r="KW90" s="2"/>
      <c r="LC90" s="2"/>
      <c r="LF90" s="2"/>
      <c r="LK90" s="2"/>
      <c r="LT90" s="4"/>
      <c r="LV90" s="4"/>
      <c r="MC90" s="3"/>
      <c r="MF90" s="3"/>
      <c r="NB90" s="2"/>
      <c r="NC90" s="2"/>
      <c r="NJ90" s="2"/>
      <c r="NN90" s="2"/>
      <c r="NO90" s="2"/>
      <c r="NT90" s="4"/>
      <c r="NV90" s="4"/>
      <c r="OB90" s="2"/>
      <c r="ON90" s="2"/>
      <c r="OR90" s="4"/>
      <c r="OT90" s="4"/>
      <c r="PD90" s="2"/>
      <c r="PH90" s="2"/>
      <c r="PQ90" s="2"/>
      <c r="PX90" s="2"/>
      <c r="PZ90" s="2"/>
      <c r="QF90" s="4"/>
      <c r="QH90" s="4"/>
      <c r="QZ90" s="2"/>
      <c r="RA90" s="2"/>
      <c r="RN90" s="4"/>
      <c r="RO90" s="4"/>
      <c r="RR90" s="2"/>
      <c r="RT90" s="2"/>
      <c r="RU90" s="2"/>
      <c r="SA90" s="4"/>
      <c r="SC90" s="4"/>
      <c r="SN90" s="2"/>
      <c r="SQ90" s="4"/>
      <c r="SS90" s="4"/>
      <c r="TG90" s="2"/>
      <c r="TH90" s="2"/>
      <c r="TI90" s="2"/>
      <c r="TU90" s="4"/>
      <c r="TW90" s="4"/>
    </row>
    <row r="91" spans="1:543">
      <c r="A91">
        <v>861</v>
      </c>
      <c r="B91">
        <v>2174</v>
      </c>
      <c r="C91" s="3" t="s">
        <v>484</v>
      </c>
      <c r="D91" t="s">
        <v>421</v>
      </c>
      <c r="E91" t="s">
        <v>485</v>
      </c>
      <c r="F91" t="s">
        <v>486</v>
      </c>
      <c r="G91" s="2">
        <v>40339</v>
      </c>
      <c r="H91" t="s">
        <v>43</v>
      </c>
      <c r="I91" t="s">
        <v>137</v>
      </c>
      <c r="J91" t="s">
        <v>61</v>
      </c>
      <c r="K91" t="s">
        <v>487</v>
      </c>
      <c r="L91" t="s">
        <v>77</v>
      </c>
      <c r="M91" s="2">
        <v>44384</v>
      </c>
      <c r="N91" t="s">
        <v>488</v>
      </c>
      <c r="O91" s="2">
        <f>DATE(YEAR(G91) + P91, MONTH(G91), DAY(G91))</f>
        <v>62254</v>
      </c>
      <c r="P91">
        <v>60</v>
      </c>
      <c r="Q91" s="2"/>
      <c r="R91" t="s">
        <v>47</v>
      </c>
      <c r="S91" t="s">
        <v>102</v>
      </c>
      <c r="T91" s="2">
        <v>44560</v>
      </c>
      <c r="U91" t="s">
        <v>65</v>
      </c>
      <c r="V91" t="s">
        <v>39</v>
      </c>
      <c r="W91">
        <v>15</v>
      </c>
      <c r="X91" s="1">
        <v>82109</v>
      </c>
      <c r="Y91" s="1">
        <v>16421.8</v>
      </c>
      <c r="Z91" s="1">
        <v>65687.199999999997</v>
      </c>
      <c r="AA91" s="3">
        <v>814</v>
      </c>
      <c r="AK91" s="3"/>
      <c r="AM91" s="4"/>
      <c r="AO91" s="4"/>
      <c r="BA91" s="2"/>
      <c r="BB91" s="2"/>
      <c r="BD91" s="4"/>
      <c r="BF91" s="4"/>
      <c r="BM91" s="2"/>
      <c r="BO91" s="4"/>
      <c r="BQ91" s="4"/>
      <c r="CI91" s="2"/>
      <c r="CJ91" s="2"/>
      <c r="CP91" s="3"/>
      <c r="CQ91" s="2"/>
      <c r="CV91" s="4"/>
      <c r="CX91" s="4"/>
      <c r="DB91" s="2"/>
      <c r="DC91" s="2"/>
      <c r="DE91" s="2"/>
      <c r="DF91" s="2"/>
      <c r="DV91" s="2"/>
      <c r="DW91" s="2"/>
      <c r="EF91" s="4"/>
      <c r="EH91" s="4"/>
      <c r="ES91" s="2"/>
      <c r="EX91" s="4"/>
      <c r="EZ91" s="4"/>
      <c r="FQ91" s="4"/>
      <c r="FS91" s="4"/>
      <c r="GE91" s="2"/>
      <c r="GJ91" s="4"/>
      <c r="GL91" s="4"/>
      <c r="GR91" s="2"/>
      <c r="GS91" s="3"/>
      <c r="GT91" s="3"/>
      <c r="GV91" s="2"/>
      <c r="GW91" s="3"/>
      <c r="GX91" s="3"/>
      <c r="HB91" s="3"/>
      <c r="HP91" s="2"/>
      <c r="HS91" s="4"/>
      <c r="HU91" s="4"/>
      <c r="II91" s="4"/>
      <c r="IK91" s="4"/>
      <c r="IT91" s="2"/>
      <c r="IV91" s="2"/>
      <c r="IW91" s="4"/>
      <c r="IY91" s="4"/>
      <c r="JH91" s="2"/>
      <c r="JK91" s="4"/>
      <c r="JM91" s="4"/>
      <c r="JZ91" s="2"/>
      <c r="KA91" s="3"/>
      <c r="KD91" s="4"/>
      <c r="KF91" s="4"/>
      <c r="KJ91" s="4"/>
      <c r="KT91" s="2"/>
      <c r="KU91" s="2"/>
      <c r="KW91" s="2"/>
      <c r="LC91" s="2"/>
      <c r="LF91" s="2"/>
      <c r="LK91" s="2"/>
      <c r="LT91" s="4"/>
      <c r="ME91" s="3"/>
      <c r="ML91" s="3"/>
      <c r="NB91" s="2"/>
      <c r="NG91" s="5"/>
      <c r="NJ91" s="2"/>
      <c r="NN91" s="2"/>
      <c r="NO91" s="2"/>
      <c r="NT91" s="4"/>
      <c r="NV91" s="4"/>
      <c r="OB91" s="2"/>
      <c r="OJ91" s="3"/>
      <c r="ON91" s="2"/>
      <c r="OR91" s="4"/>
      <c r="OT91" s="4"/>
      <c r="PD91" s="2"/>
      <c r="PH91" s="2"/>
      <c r="PQ91" s="2"/>
      <c r="PX91" s="2"/>
      <c r="PZ91" s="2"/>
      <c r="QF91" s="4"/>
      <c r="QH91" s="4"/>
      <c r="RA91" s="2"/>
      <c r="RN91" s="4"/>
      <c r="RO91" s="4"/>
      <c r="RR91" s="2"/>
      <c r="RT91" s="2"/>
      <c r="RU91" s="2"/>
      <c r="SA91" s="4"/>
      <c r="SC91" s="4"/>
      <c r="SN91" s="2"/>
      <c r="SQ91" s="4"/>
      <c r="SS91" s="4"/>
      <c r="TG91" s="2"/>
      <c r="TH91" s="2"/>
      <c r="TU91" s="4"/>
      <c r="TW91" s="4"/>
    </row>
    <row r="92" spans="1:543">
      <c r="A92">
        <v>1971</v>
      </c>
      <c r="B92">
        <v>1091</v>
      </c>
      <c r="C92">
        <v>3201478159</v>
      </c>
      <c r="D92" t="s">
        <v>72</v>
      </c>
      <c r="E92" t="s">
        <v>489</v>
      </c>
      <c r="F92" t="s">
        <v>490</v>
      </c>
      <c r="G92" s="2">
        <v>35719</v>
      </c>
      <c r="H92" t="s">
        <v>43</v>
      </c>
      <c r="I92" t="s">
        <v>44</v>
      </c>
      <c r="J92" t="s">
        <v>61</v>
      </c>
      <c r="K92" t="s">
        <v>491</v>
      </c>
      <c r="L92" t="s">
        <v>95</v>
      </c>
      <c r="M92" s="2">
        <v>43983</v>
      </c>
      <c r="N92" t="s">
        <v>492</v>
      </c>
      <c r="O92" s="2">
        <f>DATE(YEAR(G92) + P92, MONTH(G92), DAY(G92))</f>
        <v>57999</v>
      </c>
      <c r="P92">
        <v>61</v>
      </c>
      <c r="Q92" s="2"/>
      <c r="R92" t="s">
        <v>47</v>
      </c>
      <c r="S92" t="s">
        <v>102</v>
      </c>
      <c r="T92" s="2">
        <v>37595</v>
      </c>
      <c r="U92" t="s">
        <v>133</v>
      </c>
      <c r="V92" t="s">
        <v>56</v>
      </c>
      <c r="W92">
        <v>1</v>
      </c>
      <c r="X92" s="1">
        <v>60431</v>
      </c>
      <c r="Y92" s="1">
        <v>12086.2</v>
      </c>
      <c r="Z92" s="1">
        <v>48344.800000000003</v>
      </c>
      <c r="AA92" s="3">
        <v>745</v>
      </c>
      <c r="AK92" s="3"/>
      <c r="AM92" s="4"/>
      <c r="AO92" s="4"/>
      <c r="BA92" s="2"/>
      <c r="BB92" s="2"/>
      <c r="BD92" s="4"/>
      <c r="BF92" s="4"/>
      <c r="BM92" s="2"/>
      <c r="BO92" s="4"/>
      <c r="BQ92" s="4"/>
      <c r="CI92" s="2"/>
      <c r="CJ92" s="2"/>
      <c r="CN92" s="2"/>
      <c r="CQ92" s="2"/>
      <c r="CV92" s="4"/>
      <c r="CX92" s="4"/>
      <c r="DB92" s="2"/>
      <c r="DC92" s="2"/>
      <c r="DE92" s="2"/>
      <c r="DF92" s="2"/>
      <c r="DV92" s="2"/>
      <c r="DW92" s="2"/>
      <c r="EF92" s="4"/>
      <c r="EH92" s="4"/>
      <c r="ES92" s="2"/>
      <c r="EX92" s="4"/>
      <c r="EZ92" s="4"/>
      <c r="FQ92" s="4"/>
      <c r="FS92" s="4"/>
      <c r="GE92" s="2"/>
      <c r="GJ92" s="4"/>
      <c r="GL92" s="4"/>
      <c r="GR92" s="2"/>
      <c r="GV92" s="2"/>
      <c r="GW92" s="3"/>
      <c r="GX92" s="3"/>
      <c r="GY92" s="3"/>
      <c r="HB92" s="3"/>
      <c r="HP92" s="2"/>
      <c r="HS92" s="4"/>
      <c r="HU92" s="4"/>
      <c r="IK92" s="4"/>
      <c r="IS92" s="2"/>
      <c r="IT92" s="2"/>
      <c r="IV92" s="2"/>
      <c r="IW92" s="4"/>
      <c r="IY92" s="4"/>
      <c r="JH92" s="2"/>
      <c r="JM92" s="4"/>
      <c r="JZ92" s="2"/>
      <c r="KD92" s="4"/>
      <c r="KF92" s="4"/>
      <c r="KJ92" s="4"/>
      <c r="KT92" s="2"/>
      <c r="KU92" s="2"/>
      <c r="KW92" s="2"/>
      <c r="LC92" s="2"/>
      <c r="LF92" s="2"/>
      <c r="LK92" s="2"/>
      <c r="LT92" s="4"/>
      <c r="LV92" s="4"/>
      <c r="MA92" s="3"/>
      <c r="ME92" s="3"/>
      <c r="MG92" s="3"/>
      <c r="NC92" s="2"/>
      <c r="NH92" s="3"/>
      <c r="NJ92" s="2"/>
      <c r="NN92" s="2"/>
      <c r="NO92" s="2"/>
      <c r="NT92" s="4"/>
      <c r="NV92" s="4"/>
      <c r="OA92" s="2"/>
      <c r="OB92" s="2"/>
      <c r="ON92" s="2"/>
      <c r="OR92" s="4"/>
      <c r="OT92" s="4"/>
      <c r="PD92" s="2"/>
      <c r="PX92" s="2"/>
      <c r="PZ92" s="2"/>
      <c r="QF92" s="4"/>
      <c r="QH92" s="4"/>
      <c r="QZ92" s="2"/>
      <c r="RN92" s="4"/>
      <c r="RO92" s="4"/>
      <c r="RR92" s="2"/>
      <c r="RT92" s="2"/>
      <c r="RU92" s="2"/>
      <c r="SA92" s="4"/>
      <c r="SC92" s="4"/>
      <c r="SN92" s="2"/>
      <c r="SS92" s="4"/>
      <c r="TG92" s="2"/>
      <c r="TH92" s="2"/>
      <c r="TI92" s="2"/>
      <c r="TN92" s="3"/>
      <c r="TU92" s="4"/>
      <c r="TW92" s="4"/>
    </row>
    <row r="93" spans="1:543">
      <c r="A93">
        <v>8874</v>
      </c>
      <c r="B93">
        <v>1587</v>
      </c>
      <c r="C93">
        <v>4030864166</v>
      </c>
      <c r="D93" t="s">
        <v>104</v>
      </c>
      <c r="E93" t="s">
        <v>493</v>
      </c>
      <c r="F93" t="s">
        <v>494</v>
      </c>
      <c r="G93" s="2">
        <v>39970</v>
      </c>
      <c r="H93" t="s">
        <v>43</v>
      </c>
      <c r="I93" t="s">
        <v>31</v>
      </c>
      <c r="J93" t="s">
        <v>61</v>
      </c>
      <c r="K93" t="s">
        <v>495</v>
      </c>
      <c r="L93" t="s">
        <v>95</v>
      </c>
      <c r="M93" s="2">
        <v>39307</v>
      </c>
      <c r="N93" t="s">
        <v>496</v>
      </c>
      <c r="O93" s="2">
        <f>DATE(YEAR(G93) + P93, MONTH(G93), DAY(G93))</f>
        <v>64807</v>
      </c>
      <c r="P93">
        <v>68</v>
      </c>
      <c r="Q93" s="2"/>
      <c r="R93" t="s">
        <v>47</v>
      </c>
      <c r="S93" t="s">
        <v>64</v>
      </c>
      <c r="T93" s="2">
        <v>23292</v>
      </c>
      <c r="U93" t="s">
        <v>65</v>
      </c>
      <c r="V93" t="s">
        <v>38</v>
      </c>
      <c r="W93">
        <v>13</v>
      </c>
      <c r="X93" s="1">
        <v>60320</v>
      </c>
      <c r="Y93" s="1">
        <v>12064</v>
      </c>
      <c r="Z93" s="1">
        <v>48256</v>
      </c>
      <c r="AA93" s="3">
        <v>800</v>
      </c>
      <c r="AK93" s="3"/>
      <c r="AO93" s="4"/>
      <c r="BA93" s="2"/>
      <c r="BB93" s="2"/>
      <c r="BD93" s="4"/>
      <c r="BF93" s="4"/>
      <c r="BM93" s="2"/>
      <c r="BO93" s="4"/>
      <c r="BQ93" s="4"/>
      <c r="CI93" s="2"/>
      <c r="CJ93" s="2"/>
      <c r="CM93" s="3"/>
      <c r="CN93" s="2"/>
      <c r="CP93" s="3"/>
      <c r="CQ93" s="2"/>
      <c r="CV93" s="4"/>
      <c r="CX93" s="4"/>
      <c r="DA93" s="3"/>
      <c r="DB93" s="2"/>
      <c r="DC93" s="2"/>
      <c r="DE93" s="2"/>
      <c r="DF93" s="2"/>
      <c r="DV93" s="2"/>
      <c r="DW93" s="2"/>
      <c r="DY93" s="3"/>
      <c r="EF93" s="4"/>
      <c r="ER93" s="2"/>
      <c r="ES93" s="2"/>
      <c r="EV93" s="3"/>
      <c r="EX93" s="4"/>
      <c r="EZ93" s="4"/>
      <c r="FQ93" s="4"/>
      <c r="FS93" s="4"/>
      <c r="GE93" s="2"/>
      <c r="GJ93" s="4"/>
      <c r="GL93" s="4"/>
      <c r="GS93" s="3"/>
      <c r="GV93" s="2"/>
      <c r="GW93" s="3"/>
      <c r="GY93" s="3"/>
      <c r="HB93" s="3"/>
      <c r="HP93" s="2"/>
      <c r="HS93" s="4"/>
      <c r="HU93" s="4"/>
      <c r="II93" s="4"/>
      <c r="IS93" s="2"/>
      <c r="IT93" s="2"/>
      <c r="IV93" s="2"/>
      <c r="JH93" s="2"/>
      <c r="JK93" s="4"/>
      <c r="JM93" s="4"/>
      <c r="JZ93" s="2"/>
      <c r="KA93" s="3"/>
      <c r="KD93" s="4"/>
      <c r="KF93" s="4"/>
      <c r="KJ93" s="4"/>
      <c r="KT93" s="2"/>
      <c r="KU93" s="2"/>
      <c r="KW93" s="2"/>
      <c r="LC93" s="2"/>
      <c r="LF93" s="2"/>
      <c r="LK93" s="2"/>
      <c r="LT93" s="4"/>
      <c r="LV93" s="4"/>
      <c r="ME93" s="3"/>
      <c r="NC93" s="2"/>
      <c r="NJ93" s="2"/>
      <c r="NN93" s="2"/>
      <c r="NO93" s="2"/>
      <c r="NP93" s="3"/>
      <c r="NT93" s="4"/>
      <c r="NV93" s="4"/>
      <c r="OA93" s="2"/>
      <c r="OB93" s="2"/>
      <c r="ON93" s="2"/>
      <c r="OT93" s="4"/>
      <c r="PD93" s="2"/>
      <c r="PH93" s="2"/>
      <c r="PQ93" s="2"/>
      <c r="PX93" s="2"/>
      <c r="PZ93" s="2"/>
      <c r="QF93" s="4"/>
      <c r="QH93" s="4"/>
      <c r="QZ93" s="2"/>
      <c r="RA93" s="2"/>
      <c r="RN93" s="4"/>
      <c r="RO93" s="4"/>
      <c r="RR93" s="2"/>
      <c r="RT93" s="2"/>
      <c r="RU93" s="2"/>
      <c r="SA93" s="4"/>
      <c r="SC93" s="4"/>
      <c r="SN93" s="2"/>
      <c r="SQ93" s="4"/>
      <c r="SS93" s="4"/>
      <c r="TG93" s="2"/>
      <c r="TH93" s="2"/>
      <c r="TI93" s="2"/>
      <c r="TU93" s="4"/>
      <c r="TW93" s="4"/>
    </row>
    <row r="94" spans="1:543">
      <c r="A94">
        <v>7047</v>
      </c>
      <c r="B94">
        <v>6351</v>
      </c>
      <c r="C94">
        <v>7039602483</v>
      </c>
      <c r="D94" t="s">
        <v>172</v>
      </c>
      <c r="E94" t="s">
        <v>497</v>
      </c>
      <c r="F94" t="s">
        <v>498</v>
      </c>
      <c r="G94" s="2">
        <v>37597</v>
      </c>
      <c r="H94" t="s">
        <v>43</v>
      </c>
      <c r="I94" t="s">
        <v>143</v>
      </c>
      <c r="J94" t="s">
        <v>61</v>
      </c>
      <c r="K94" t="s">
        <v>499</v>
      </c>
      <c r="L94" t="s">
        <v>34</v>
      </c>
      <c r="M94" s="2">
        <v>44681</v>
      </c>
      <c r="N94" t="s">
        <v>500</v>
      </c>
      <c r="O94" s="2">
        <f>DATE(YEAR(G94) + P94, MONTH(G94), DAY(G94))</f>
        <v>61704</v>
      </c>
      <c r="P94">
        <v>66</v>
      </c>
      <c r="Q94" s="2"/>
      <c r="R94" t="s">
        <v>47</v>
      </c>
      <c r="S94" t="s">
        <v>48</v>
      </c>
      <c r="T94" s="2">
        <v>38356</v>
      </c>
      <c r="U94" t="s">
        <v>49</v>
      </c>
      <c r="V94" t="s">
        <v>39</v>
      </c>
      <c r="W94">
        <v>3</v>
      </c>
      <c r="X94" s="1">
        <v>20477</v>
      </c>
      <c r="Y94" s="1">
        <v>4095.4</v>
      </c>
      <c r="Z94" s="1">
        <v>16381.6</v>
      </c>
      <c r="AA94" s="3">
        <v>144</v>
      </c>
      <c r="AK94" s="3"/>
      <c r="AM94" s="4"/>
      <c r="AO94" s="4"/>
      <c r="BA94" s="2"/>
      <c r="BB94" s="2"/>
      <c r="BD94" s="4"/>
      <c r="BM94" s="2"/>
      <c r="BO94" s="4"/>
      <c r="BQ94" s="4"/>
      <c r="CI94" s="2"/>
      <c r="CJ94" s="2"/>
      <c r="CQ94" s="2"/>
      <c r="CV94" s="4"/>
      <c r="CX94" s="4"/>
      <c r="DB94" s="2"/>
      <c r="DC94" s="2"/>
      <c r="DD94" s="3"/>
      <c r="DE94" s="2"/>
      <c r="DF94" s="2"/>
      <c r="DG94" s="3"/>
      <c r="DV94" s="2"/>
      <c r="DW94" s="2"/>
      <c r="EF94" s="4"/>
      <c r="EH94" s="4"/>
      <c r="ER94" s="2"/>
      <c r="ES94" s="2"/>
      <c r="EV94" s="3"/>
      <c r="EX94" s="4"/>
      <c r="EZ94" s="4"/>
      <c r="FQ94" s="4"/>
      <c r="FS94" s="4"/>
      <c r="GJ94" s="4"/>
      <c r="GL94" s="4"/>
      <c r="GR94" s="2"/>
      <c r="GU94" s="3"/>
      <c r="GV94" s="2"/>
      <c r="GX94" s="3"/>
      <c r="HB94" s="3"/>
      <c r="HN94" s="3"/>
      <c r="HP94" s="2"/>
      <c r="HS94" s="4"/>
      <c r="HU94" s="4"/>
      <c r="II94" s="4"/>
      <c r="IK94" s="4"/>
      <c r="IS94" s="2"/>
      <c r="IT94" s="2"/>
      <c r="IW94" s="4"/>
      <c r="IY94" s="4"/>
      <c r="JH94" s="2"/>
      <c r="JK94" s="4"/>
      <c r="JM94" s="4"/>
      <c r="JZ94" s="2"/>
      <c r="KF94" s="4"/>
      <c r="KJ94" s="4"/>
      <c r="KT94" s="2"/>
      <c r="KU94" s="2"/>
      <c r="KW94" s="2"/>
      <c r="LC94" s="2"/>
      <c r="LF94" s="2"/>
      <c r="LK94" s="2"/>
      <c r="LM94" s="3"/>
      <c r="LT94" s="4"/>
      <c r="LV94" s="4"/>
      <c r="NB94" s="2"/>
      <c r="NC94" s="2"/>
      <c r="NG94" s="5"/>
      <c r="NJ94" s="2"/>
      <c r="NN94" s="2"/>
      <c r="NO94" s="2"/>
      <c r="NT94" s="4"/>
      <c r="NV94" s="4"/>
      <c r="OA94" s="2"/>
      <c r="OB94" s="2"/>
      <c r="OJ94" s="3"/>
      <c r="OR94" s="4"/>
      <c r="OT94" s="4"/>
      <c r="PD94" s="2"/>
      <c r="PH94" s="2"/>
      <c r="PP94" s="3"/>
      <c r="PQ94" s="2"/>
      <c r="PX94" s="2"/>
      <c r="PZ94" s="2"/>
      <c r="QF94" s="4"/>
      <c r="QH94" s="4"/>
      <c r="QZ94" s="2"/>
      <c r="RA94" s="2"/>
      <c r="RN94" s="4"/>
      <c r="RO94" s="4"/>
      <c r="RR94" s="2"/>
      <c r="RT94" s="2"/>
      <c r="RU94" s="2"/>
      <c r="SA94" s="4"/>
      <c r="SC94" s="4"/>
      <c r="SN94" s="2"/>
      <c r="SQ94" s="4"/>
      <c r="SS94" s="4"/>
      <c r="TG94" s="2"/>
      <c r="TH94" s="2"/>
      <c r="TI94" s="2"/>
      <c r="TU94" s="4"/>
      <c r="TW94" s="4"/>
    </row>
    <row r="95" spans="1:543">
      <c r="A95">
        <v>5483</v>
      </c>
      <c r="B95">
        <v>1626</v>
      </c>
      <c r="C95">
        <v>1103031521</v>
      </c>
      <c r="D95" t="s">
        <v>27</v>
      </c>
      <c r="E95" t="s">
        <v>501</v>
      </c>
      <c r="F95" t="s">
        <v>502</v>
      </c>
      <c r="G95" s="2">
        <v>37587</v>
      </c>
      <c r="H95" t="s">
        <v>30</v>
      </c>
      <c r="I95" t="s">
        <v>53</v>
      </c>
      <c r="J95" t="s">
        <v>32</v>
      </c>
      <c r="K95" t="s">
        <v>503</v>
      </c>
      <c r="L95" t="s">
        <v>95</v>
      </c>
      <c r="M95" s="2"/>
      <c r="N95" t="s">
        <v>504</v>
      </c>
      <c r="O95" s="2">
        <f>DATE(YEAR(G95) + P95, MONTH(G95), DAY(G95))</f>
        <v>62424</v>
      </c>
      <c r="P95">
        <v>68</v>
      </c>
      <c r="Q95" s="2">
        <v>32785</v>
      </c>
      <c r="R95" t="s">
        <v>36</v>
      </c>
      <c r="S95" t="s">
        <v>109</v>
      </c>
      <c r="T95" s="2">
        <v>39416</v>
      </c>
      <c r="U95" t="s">
        <v>103</v>
      </c>
      <c r="V95" t="s">
        <v>66</v>
      </c>
      <c r="W95">
        <v>11</v>
      </c>
      <c r="X95" s="1">
        <v>93598</v>
      </c>
      <c r="Y95" s="1">
        <v>18719.600000000002</v>
      </c>
      <c r="Z95" s="1">
        <v>74878.399999999994</v>
      </c>
      <c r="AA95" s="3">
        <v>907</v>
      </c>
      <c r="AB95" s="3"/>
      <c r="AK95" s="3"/>
      <c r="AM95" s="4"/>
      <c r="BA95" s="2"/>
      <c r="BB95" s="2"/>
      <c r="BD95" s="4"/>
      <c r="BF95" s="4"/>
      <c r="BM95" s="2"/>
      <c r="BO95" s="4"/>
      <c r="BQ95" s="4"/>
      <c r="CI95" s="2"/>
      <c r="CJ95" s="2"/>
      <c r="CN95" s="2"/>
      <c r="CQ95" s="2"/>
      <c r="CV95" s="4"/>
      <c r="CX95" s="4"/>
      <c r="DC95" s="2"/>
      <c r="DE95" s="2"/>
      <c r="DF95" s="2"/>
      <c r="DV95" s="2"/>
      <c r="DW95" s="2"/>
      <c r="EF95" s="4"/>
      <c r="EH95" s="4"/>
      <c r="ER95" s="2"/>
      <c r="ES95" s="2"/>
      <c r="EZ95" s="4"/>
      <c r="FQ95" s="4"/>
      <c r="FS95" s="4"/>
      <c r="GE95" s="2"/>
      <c r="GJ95" s="4"/>
      <c r="GL95" s="4"/>
      <c r="GR95" s="2"/>
      <c r="GS95" s="3"/>
      <c r="GT95" s="3"/>
      <c r="GU95" s="3"/>
      <c r="GV95" s="2"/>
      <c r="HB95" s="3"/>
      <c r="HP95" s="2"/>
      <c r="HS95" s="4"/>
      <c r="HU95" s="4"/>
      <c r="II95" s="4"/>
      <c r="IK95" s="4"/>
      <c r="IS95" s="2"/>
      <c r="IT95" s="2"/>
      <c r="IV95" s="2"/>
      <c r="IW95" s="4"/>
      <c r="IY95" s="4"/>
      <c r="JH95" s="2"/>
      <c r="JK95" s="4"/>
      <c r="JM95" s="4"/>
      <c r="KA95" s="3"/>
      <c r="KD95" s="4"/>
      <c r="KF95" s="4"/>
      <c r="KI95" s="3"/>
      <c r="KT95" s="2"/>
      <c r="KU95" s="2"/>
      <c r="KW95" s="2"/>
      <c r="LC95" s="2"/>
      <c r="LF95" s="2"/>
      <c r="LK95" s="2"/>
      <c r="LM95" s="3"/>
      <c r="LT95" s="4"/>
      <c r="MN95" s="5"/>
      <c r="NB95" s="2"/>
      <c r="NC95" s="2"/>
      <c r="NJ95" s="2"/>
      <c r="NM95" s="3"/>
      <c r="NN95" s="2"/>
      <c r="NO95" s="2"/>
      <c r="NT95" s="4"/>
      <c r="NV95" s="4"/>
      <c r="OA95" s="2"/>
      <c r="OB95" s="2"/>
      <c r="OR95" s="4"/>
      <c r="OT95" s="4"/>
      <c r="PD95" s="2"/>
      <c r="PH95" s="2"/>
      <c r="PX95" s="2"/>
      <c r="QF95" s="4"/>
      <c r="QH95" s="4"/>
      <c r="QX95" s="3"/>
      <c r="QZ95" s="2"/>
      <c r="RA95" s="2"/>
      <c r="RN95" s="4"/>
      <c r="RR95" s="2"/>
      <c r="RT95" s="2"/>
      <c r="RU95" s="2"/>
      <c r="SC95" s="4"/>
      <c r="SN95" s="2"/>
      <c r="SQ95" s="4"/>
      <c r="SS95" s="4"/>
      <c r="TG95" s="2"/>
      <c r="TH95" s="2"/>
      <c r="TI95" s="2"/>
      <c r="TU95" s="4"/>
      <c r="TW95" s="4"/>
    </row>
    <row r="96" spans="1:543">
      <c r="A96">
        <v>3607</v>
      </c>
      <c r="B96">
        <v>2902</v>
      </c>
      <c r="C96">
        <v>8282072874</v>
      </c>
      <c r="D96" t="s">
        <v>110</v>
      </c>
      <c r="E96" t="s">
        <v>505</v>
      </c>
      <c r="F96" t="s">
        <v>506</v>
      </c>
      <c r="G96" s="2">
        <v>37560</v>
      </c>
      <c r="H96" t="s">
        <v>30</v>
      </c>
      <c r="I96" t="s">
        <v>260</v>
      </c>
      <c r="J96" t="s">
        <v>32</v>
      </c>
      <c r="K96" t="s">
        <v>507</v>
      </c>
      <c r="L96" t="s">
        <v>95</v>
      </c>
      <c r="M96" s="2"/>
      <c r="N96" t="s">
        <v>508</v>
      </c>
      <c r="O96" s="2">
        <f>DATE(YEAR(G96) + P96, MONTH(G96), DAY(G96))</f>
        <v>63128</v>
      </c>
      <c r="P96">
        <v>70</v>
      </c>
      <c r="Q96" s="2">
        <v>23290</v>
      </c>
      <c r="R96" t="s">
        <v>47</v>
      </c>
      <c r="S96" t="s">
        <v>181</v>
      </c>
      <c r="T96" s="2">
        <v>42520</v>
      </c>
      <c r="U96" t="s">
        <v>133</v>
      </c>
      <c r="V96" t="s">
        <v>39</v>
      </c>
      <c r="W96">
        <v>7</v>
      </c>
      <c r="X96" s="1">
        <v>21227</v>
      </c>
      <c r="Y96" s="1">
        <v>4245.4000000000005</v>
      </c>
      <c r="Z96" s="1">
        <v>16981.599999999999</v>
      </c>
      <c r="AA96" s="3">
        <v>459</v>
      </c>
      <c r="AK96" s="3"/>
      <c r="AM96" s="4"/>
      <c r="AO96" s="4"/>
      <c r="BA96" s="2"/>
      <c r="BB96" s="2"/>
      <c r="BD96" s="4"/>
      <c r="BF96" s="4"/>
      <c r="BM96" s="2"/>
      <c r="BO96" s="4"/>
      <c r="BQ96" s="4"/>
      <c r="CG96" s="3"/>
      <c r="CI96" s="2"/>
      <c r="CK96" s="3"/>
      <c r="CN96" s="2"/>
      <c r="CQ96" s="2"/>
      <c r="CV96" s="4"/>
      <c r="CX96" s="4"/>
      <c r="DB96" s="2"/>
      <c r="DC96" s="2"/>
      <c r="DE96" s="2"/>
      <c r="DF96" s="2"/>
      <c r="DV96" s="2"/>
      <c r="DW96" s="2"/>
      <c r="EH96" s="4"/>
      <c r="ES96" s="2"/>
      <c r="EX96" s="4"/>
      <c r="EZ96" s="4"/>
      <c r="FQ96" s="4"/>
      <c r="FS96" s="4"/>
      <c r="GE96" s="2"/>
      <c r="GG96" s="3"/>
      <c r="GJ96" s="4"/>
      <c r="GL96" s="4"/>
      <c r="GR96" s="2"/>
      <c r="GT96" s="3"/>
      <c r="GV96" s="2"/>
      <c r="GY96" s="3"/>
      <c r="HB96" s="3"/>
      <c r="HP96" s="2"/>
      <c r="HS96" s="4"/>
      <c r="HU96" s="4"/>
      <c r="IK96" s="4"/>
      <c r="IS96" s="2"/>
      <c r="IT96" s="2"/>
      <c r="IW96" s="4"/>
      <c r="IY96" s="4"/>
      <c r="JH96" s="2"/>
      <c r="JK96" s="4"/>
      <c r="JM96" s="4"/>
      <c r="KD96" s="4"/>
      <c r="KF96" s="4"/>
      <c r="KJ96" s="4"/>
      <c r="KT96" s="2"/>
      <c r="KU96" s="2"/>
      <c r="KW96" s="2"/>
      <c r="LC96" s="2"/>
      <c r="LF96" s="2"/>
      <c r="LK96" s="2"/>
      <c r="LT96" s="4"/>
      <c r="LV96" s="4"/>
      <c r="NB96" s="2"/>
      <c r="NC96" s="2"/>
      <c r="NJ96" s="2"/>
      <c r="NN96" s="2"/>
      <c r="NO96" s="2"/>
      <c r="NT96" s="4"/>
      <c r="NV96" s="4"/>
      <c r="OA96" s="2"/>
      <c r="OB96" s="2"/>
      <c r="OK96" s="3"/>
      <c r="ON96" s="2"/>
      <c r="OR96" s="4"/>
      <c r="OT96" s="4"/>
      <c r="PD96" s="2"/>
      <c r="PH96" s="2"/>
      <c r="PI96" s="3"/>
      <c r="PQ96" s="2"/>
      <c r="PX96" s="2"/>
      <c r="PZ96" s="2"/>
      <c r="QF96" s="4"/>
      <c r="QH96" s="4"/>
      <c r="QZ96" s="2"/>
      <c r="RO96" s="4"/>
      <c r="RR96" s="2"/>
      <c r="RT96" s="2"/>
      <c r="SA96" s="4"/>
      <c r="SC96" s="4"/>
      <c r="SN96" s="2"/>
      <c r="SQ96" s="4"/>
      <c r="SS96" s="4"/>
      <c r="TG96" s="2"/>
      <c r="TH96" s="2"/>
      <c r="TI96" s="2"/>
      <c r="TU96" s="4"/>
      <c r="TW96" s="4"/>
    </row>
    <row r="97" spans="1:543">
      <c r="A97">
        <v>2611</v>
      </c>
      <c r="B97">
        <v>2143</v>
      </c>
      <c r="C97">
        <v>5773862476</v>
      </c>
      <c r="D97" t="s">
        <v>287</v>
      </c>
      <c r="E97" t="s">
        <v>509</v>
      </c>
      <c r="F97" t="s">
        <v>510</v>
      </c>
      <c r="G97" s="2">
        <v>40274</v>
      </c>
      <c r="H97" t="s">
        <v>43</v>
      </c>
      <c r="I97" t="s">
        <v>60</v>
      </c>
      <c r="J97" t="s">
        <v>32</v>
      </c>
      <c r="K97" t="s">
        <v>511</v>
      </c>
      <c r="L97" t="s">
        <v>77</v>
      </c>
      <c r="M97" s="2"/>
      <c r="N97" t="s">
        <v>512</v>
      </c>
      <c r="O97" s="2">
        <f>DATE(YEAR(G97) + P97, MONTH(G97), DAY(G97))</f>
        <v>64746</v>
      </c>
      <c r="P97">
        <v>67</v>
      </c>
      <c r="Q97" s="2"/>
      <c r="R97" t="s">
        <v>47</v>
      </c>
      <c r="S97" t="s">
        <v>102</v>
      </c>
      <c r="T97" s="2">
        <v>36677</v>
      </c>
      <c r="U97" t="s">
        <v>65</v>
      </c>
      <c r="V97" t="s">
        <v>56</v>
      </c>
      <c r="W97">
        <v>22</v>
      </c>
      <c r="X97" s="1">
        <v>50799</v>
      </c>
      <c r="Y97" s="1">
        <v>10159.800000000001</v>
      </c>
      <c r="Z97" s="1">
        <v>40639.199999999997</v>
      </c>
      <c r="AA97" s="3">
        <v>380</v>
      </c>
      <c r="AB97" s="3"/>
      <c r="AK97" s="3"/>
      <c r="AM97" s="4"/>
      <c r="AO97" s="4"/>
      <c r="BA97" s="2"/>
      <c r="BB97" s="2"/>
      <c r="BD97" s="4"/>
      <c r="BF97" s="4"/>
      <c r="BM97" s="2"/>
      <c r="BO97" s="4"/>
      <c r="BQ97" s="4"/>
      <c r="CI97" s="2"/>
      <c r="CJ97" s="2"/>
      <c r="CK97" s="3"/>
      <c r="CN97" s="2"/>
      <c r="CQ97" s="2"/>
      <c r="CV97" s="4"/>
      <c r="CX97" s="4"/>
      <c r="DB97" s="2"/>
      <c r="DC97" s="2"/>
      <c r="DE97" s="2"/>
      <c r="DV97" s="2"/>
      <c r="EF97" s="4"/>
      <c r="EH97" s="4"/>
      <c r="ER97" s="2"/>
      <c r="ES97" s="2"/>
      <c r="EX97" s="4"/>
      <c r="EZ97" s="4"/>
      <c r="FQ97" s="4"/>
      <c r="GE97" s="2"/>
      <c r="GJ97" s="4"/>
      <c r="GL97" s="4"/>
      <c r="GR97" s="2"/>
      <c r="GS97" s="3"/>
      <c r="GU97" s="3"/>
      <c r="GV97" s="2"/>
      <c r="GX97" s="3"/>
      <c r="GY97" s="3"/>
      <c r="HB97" s="3"/>
      <c r="HP97" s="2"/>
      <c r="II97" s="4"/>
      <c r="IK97" s="4"/>
      <c r="IS97" s="2"/>
      <c r="IT97" s="2"/>
      <c r="IW97" s="4"/>
      <c r="IY97" s="4"/>
      <c r="JH97" s="2"/>
      <c r="JK97" s="4"/>
      <c r="JM97" s="4"/>
      <c r="JZ97" s="2"/>
      <c r="KC97" s="3"/>
      <c r="KD97" s="4"/>
      <c r="KF97" s="4"/>
      <c r="KJ97" s="4"/>
      <c r="KT97" s="2"/>
      <c r="KU97" s="2"/>
      <c r="KW97" s="2"/>
      <c r="LC97" s="2"/>
      <c r="LF97" s="2"/>
      <c r="LK97" s="2"/>
      <c r="LT97" s="4"/>
      <c r="LV97" s="4"/>
      <c r="NB97" s="2"/>
      <c r="NC97" s="2"/>
      <c r="NN97" s="2"/>
      <c r="NO97" s="2"/>
      <c r="NT97" s="4"/>
      <c r="NV97" s="4"/>
      <c r="OA97" s="2"/>
      <c r="OB97" s="2"/>
      <c r="ON97" s="2"/>
      <c r="OT97" s="4"/>
      <c r="PD97" s="2"/>
      <c r="PH97" s="2"/>
      <c r="PN97" s="3"/>
      <c r="PQ97" s="2"/>
      <c r="PZ97" s="2"/>
      <c r="QF97" s="4"/>
      <c r="QH97" s="4"/>
      <c r="QZ97" s="2"/>
      <c r="RA97" s="2"/>
      <c r="RR97" s="2"/>
      <c r="RT97" s="2"/>
      <c r="RU97" s="2"/>
      <c r="SA97" s="4"/>
      <c r="SC97" s="4"/>
      <c r="SN97" s="2"/>
      <c r="SQ97" s="4"/>
      <c r="SS97" s="4"/>
      <c r="TG97" s="2"/>
      <c r="TH97" s="2"/>
      <c r="TI97" s="2"/>
      <c r="TU97" s="4"/>
      <c r="TW97" s="4"/>
    </row>
    <row r="98" spans="1:543">
      <c r="A98">
        <v>5398</v>
      </c>
      <c r="B98">
        <v>5202</v>
      </c>
      <c r="C98">
        <v>6802724370</v>
      </c>
      <c r="D98" t="s">
        <v>166</v>
      </c>
      <c r="E98" t="s">
        <v>513</v>
      </c>
      <c r="F98" t="s">
        <v>514</v>
      </c>
      <c r="G98" s="2">
        <v>39744</v>
      </c>
      <c r="H98" t="s">
        <v>30</v>
      </c>
      <c r="I98" t="s">
        <v>53</v>
      </c>
      <c r="J98" t="s">
        <v>32</v>
      </c>
      <c r="K98" t="s">
        <v>515</v>
      </c>
      <c r="L98" t="s">
        <v>77</v>
      </c>
      <c r="M98" s="2"/>
      <c r="N98" t="s">
        <v>516</v>
      </c>
      <c r="O98" s="2">
        <f>DATE(YEAR(G98) + P98, MONTH(G98), DAY(G98))</f>
        <v>63850</v>
      </c>
      <c r="P98">
        <v>66</v>
      </c>
      <c r="Q98" s="2"/>
      <c r="R98" t="s">
        <v>47</v>
      </c>
      <c r="S98" t="s">
        <v>37</v>
      </c>
      <c r="T98" s="2">
        <v>28474</v>
      </c>
      <c r="U98" t="s">
        <v>65</v>
      </c>
      <c r="V98" t="s">
        <v>39</v>
      </c>
      <c r="W98">
        <v>23</v>
      </c>
      <c r="X98" s="1">
        <v>19672</v>
      </c>
      <c r="Y98" s="1">
        <v>3934.4</v>
      </c>
      <c r="Z98" s="1">
        <v>15737.6</v>
      </c>
      <c r="AA98" s="3">
        <v>586</v>
      </c>
      <c r="AJ98" s="3"/>
      <c r="AK98" s="3"/>
      <c r="AM98" s="4"/>
      <c r="AO98" s="4"/>
      <c r="BA98" s="2"/>
      <c r="BB98" s="2"/>
      <c r="BD98" s="4"/>
      <c r="BF98" s="4"/>
      <c r="BM98" s="2"/>
      <c r="BQ98" s="4"/>
      <c r="CI98" s="2"/>
      <c r="CJ98" s="2"/>
      <c r="CN98" s="2"/>
      <c r="CQ98" s="2"/>
      <c r="CV98" s="4"/>
      <c r="CX98" s="4"/>
      <c r="DA98" s="3"/>
      <c r="DB98" s="2"/>
      <c r="DC98" s="2"/>
      <c r="DE98" s="2"/>
      <c r="DF98" s="2"/>
      <c r="DV98" s="2"/>
      <c r="DW98" s="2"/>
      <c r="EF98" s="4"/>
      <c r="EH98" s="4"/>
      <c r="ES98" s="2"/>
      <c r="EX98" s="4"/>
      <c r="EZ98" s="4"/>
      <c r="FQ98" s="4"/>
      <c r="FS98" s="4"/>
      <c r="GE98" s="2"/>
      <c r="GJ98" s="4"/>
      <c r="GL98" s="4"/>
      <c r="GR98" s="2"/>
      <c r="GS98" s="3"/>
      <c r="GT98" s="3"/>
      <c r="GV98" s="2"/>
      <c r="GX98" s="3"/>
      <c r="HB98" s="3"/>
      <c r="HP98" s="2"/>
      <c r="HS98" s="4"/>
      <c r="HU98" s="4"/>
      <c r="II98" s="4"/>
      <c r="IK98" s="4"/>
      <c r="IS98" s="2"/>
      <c r="IT98" s="2"/>
      <c r="IV98" s="2"/>
      <c r="IW98" s="4"/>
      <c r="IY98" s="4"/>
      <c r="JH98" s="2"/>
      <c r="JK98" s="4"/>
      <c r="JM98" s="4"/>
      <c r="JZ98" s="2"/>
      <c r="KD98" s="4"/>
      <c r="KF98" s="4"/>
      <c r="KJ98" s="4"/>
      <c r="KT98" s="2"/>
      <c r="KU98" s="2"/>
      <c r="KW98" s="2"/>
      <c r="LC98" s="2"/>
      <c r="LF98" s="2"/>
      <c r="LK98" s="2"/>
      <c r="LT98" s="4"/>
      <c r="LV98" s="4"/>
      <c r="NB98" s="2"/>
      <c r="NC98" s="2"/>
      <c r="NG98" s="5"/>
      <c r="NJ98" s="2"/>
      <c r="NN98" s="2"/>
      <c r="NO98" s="2"/>
      <c r="NT98" s="4"/>
      <c r="NV98" s="4"/>
      <c r="OA98" s="2"/>
      <c r="OB98" s="2"/>
      <c r="ON98" s="2"/>
      <c r="OR98" s="4"/>
      <c r="OT98" s="4"/>
      <c r="PD98" s="2"/>
      <c r="PH98" s="2"/>
      <c r="PP98" s="3"/>
      <c r="PQ98" s="2"/>
      <c r="PX98" s="2"/>
      <c r="PZ98" s="2"/>
      <c r="QF98" s="4"/>
      <c r="QH98" s="4"/>
      <c r="QZ98" s="2"/>
      <c r="RN98" s="4"/>
      <c r="RO98" s="4"/>
      <c r="RR98" s="2"/>
      <c r="RT98" s="2"/>
      <c r="RU98" s="2"/>
      <c r="SA98" s="4"/>
      <c r="SC98" s="4"/>
      <c r="SN98" s="2"/>
      <c r="SQ98" s="4"/>
      <c r="SS98" s="4"/>
      <c r="TG98" s="2"/>
      <c r="TH98" s="2"/>
      <c r="TI98" s="2"/>
      <c r="TU98" s="4"/>
      <c r="TW98" s="4"/>
    </row>
    <row r="99" spans="1:543">
      <c r="A99">
        <v>8864</v>
      </c>
      <c r="B99">
        <v>8925</v>
      </c>
      <c r="C99">
        <v>5795448888</v>
      </c>
      <c r="D99" t="s">
        <v>267</v>
      </c>
      <c r="E99" t="s">
        <v>517</v>
      </c>
      <c r="F99" t="s">
        <v>518</v>
      </c>
      <c r="G99" s="2">
        <v>40245</v>
      </c>
      <c r="H99" t="s">
        <v>43</v>
      </c>
      <c r="I99" t="s">
        <v>236</v>
      </c>
      <c r="J99" t="s">
        <v>32</v>
      </c>
      <c r="K99" t="s">
        <v>519</v>
      </c>
      <c r="L99" t="s">
        <v>77</v>
      </c>
      <c r="M99" s="2"/>
      <c r="N99" t="s">
        <v>520</v>
      </c>
      <c r="O99" s="2">
        <f>DATE(YEAR(G99) + P99, MONTH(G99), DAY(G99))</f>
        <v>63256</v>
      </c>
      <c r="P99">
        <v>63</v>
      </c>
      <c r="Q99" s="2"/>
      <c r="R99" t="s">
        <v>47</v>
      </c>
      <c r="S99" t="s">
        <v>64</v>
      </c>
      <c r="T99" s="2">
        <v>29187</v>
      </c>
      <c r="U99" t="s">
        <v>133</v>
      </c>
      <c r="V99" t="s">
        <v>39</v>
      </c>
      <c r="W99">
        <v>28</v>
      </c>
      <c r="X99" s="1">
        <v>68640</v>
      </c>
      <c r="Y99" s="1">
        <v>13728</v>
      </c>
      <c r="Z99" s="1">
        <v>54912</v>
      </c>
      <c r="AA99" s="3">
        <v>89</v>
      </c>
      <c r="AK99" s="3"/>
      <c r="AM99" s="4"/>
      <c r="AO99" s="4"/>
      <c r="BA99" s="2"/>
      <c r="BB99" s="2"/>
      <c r="BD99" s="4"/>
      <c r="BF99" s="4"/>
      <c r="BM99" s="2"/>
      <c r="BQ99" s="4"/>
      <c r="CI99" s="2"/>
      <c r="CJ99" s="2"/>
      <c r="CN99" s="2"/>
      <c r="CQ99" s="2"/>
      <c r="CV99" s="4"/>
      <c r="CX99" s="4"/>
      <c r="DC99" s="2"/>
      <c r="DE99" s="2"/>
      <c r="DF99" s="2"/>
      <c r="DV99" s="2"/>
      <c r="DW99" s="2"/>
      <c r="EF99" s="4"/>
      <c r="EH99" s="4"/>
      <c r="ER99" s="2"/>
      <c r="ES99" s="2"/>
      <c r="EZ99" s="4"/>
      <c r="FS99" s="4"/>
      <c r="GE99" s="2"/>
      <c r="GJ99" s="4"/>
      <c r="GL99" s="4"/>
      <c r="GR99" s="2"/>
      <c r="GS99" s="3"/>
      <c r="GT99" s="3"/>
      <c r="GU99" s="3"/>
      <c r="GV99" s="2"/>
      <c r="GW99" s="3"/>
      <c r="GX99" s="3"/>
      <c r="GY99" s="3"/>
      <c r="HB99" s="3"/>
      <c r="HP99" s="2"/>
      <c r="HS99" s="4"/>
      <c r="HU99" s="4"/>
      <c r="IK99" s="4"/>
      <c r="IS99" s="2"/>
      <c r="IT99" s="2"/>
      <c r="IV99" s="2"/>
      <c r="IW99" s="4"/>
      <c r="IY99" s="4"/>
      <c r="JH99" s="2"/>
      <c r="JK99" s="4"/>
      <c r="JM99" s="4"/>
      <c r="JZ99" s="2"/>
      <c r="KD99" s="4"/>
      <c r="KF99" s="4"/>
      <c r="KT99" s="2"/>
      <c r="KU99" s="2"/>
      <c r="KW99" s="2"/>
      <c r="LC99" s="2"/>
      <c r="LF99" s="2"/>
      <c r="LK99" s="2"/>
      <c r="LT99" s="4"/>
      <c r="LV99" s="4"/>
      <c r="NB99" s="2"/>
      <c r="NC99" s="2"/>
      <c r="NG99" s="5"/>
      <c r="NJ99" s="2"/>
      <c r="NN99" s="2"/>
      <c r="NO99" s="2"/>
      <c r="NT99" s="4"/>
      <c r="NV99" s="4"/>
      <c r="OA99" s="2"/>
      <c r="OB99" s="2"/>
      <c r="ON99" s="2"/>
      <c r="OR99" s="4"/>
      <c r="OT99" s="4"/>
      <c r="PD99" s="2"/>
      <c r="PH99" s="2"/>
      <c r="PQ99" s="2"/>
      <c r="PX99" s="2"/>
      <c r="PZ99" s="2"/>
      <c r="QH99" s="4"/>
      <c r="QZ99" s="2"/>
      <c r="RA99" s="2"/>
      <c r="RN99" s="4"/>
      <c r="RO99" s="4"/>
      <c r="RR99" s="2"/>
      <c r="RT99" s="2"/>
      <c r="RU99" s="2"/>
      <c r="SA99" s="4"/>
      <c r="SC99" s="4"/>
      <c r="SN99" s="2"/>
      <c r="SQ99" s="4"/>
      <c r="SS99" s="4"/>
      <c r="TG99" s="2"/>
      <c r="TH99" s="2"/>
      <c r="TI99" s="2"/>
      <c r="TU99" s="4"/>
    </row>
    <row r="100" spans="1:543">
      <c r="A100">
        <v>6542</v>
      </c>
      <c r="B100">
        <v>5392</v>
      </c>
      <c r="C100">
        <v>1448378922</v>
      </c>
      <c r="D100" t="s">
        <v>27</v>
      </c>
      <c r="E100" t="s">
        <v>521</v>
      </c>
      <c r="F100" t="s">
        <v>522</v>
      </c>
      <c r="G100" s="2">
        <v>24059</v>
      </c>
      <c r="H100" t="s">
        <v>43</v>
      </c>
      <c r="I100" t="s">
        <v>523</v>
      </c>
      <c r="J100" t="s">
        <v>32</v>
      </c>
      <c r="K100" t="s">
        <v>524</v>
      </c>
      <c r="L100" t="s">
        <v>95</v>
      </c>
      <c r="M100" s="2"/>
      <c r="N100" t="s">
        <v>525</v>
      </c>
      <c r="O100" s="2">
        <f>DATE(YEAR(G100) + P100, MONTH(G100), DAY(G100))</f>
        <v>47800</v>
      </c>
      <c r="P100">
        <v>65</v>
      </c>
      <c r="Q100" s="2"/>
      <c r="R100" t="s">
        <v>47</v>
      </c>
      <c r="S100" t="s">
        <v>48</v>
      </c>
      <c r="T100" s="2">
        <v>26237</v>
      </c>
      <c r="U100" t="s">
        <v>49</v>
      </c>
      <c r="V100" t="s">
        <v>39</v>
      </c>
      <c r="W100">
        <v>21</v>
      </c>
      <c r="X100" s="1">
        <v>35002</v>
      </c>
      <c r="Y100" s="1">
        <v>7000.4000000000005</v>
      </c>
      <c r="Z100" s="1">
        <v>28001.599999999999</v>
      </c>
      <c r="AA100" s="3">
        <v>177</v>
      </c>
      <c r="AK100" s="3"/>
      <c r="AM100" s="4"/>
      <c r="AO100" s="4"/>
      <c r="BA100" s="2"/>
      <c r="BB100" s="2"/>
      <c r="BD100" s="4"/>
      <c r="BF100" s="4"/>
      <c r="BM100" s="2"/>
      <c r="BO100" s="4"/>
      <c r="BQ100" s="4"/>
      <c r="CH100" s="3"/>
      <c r="CI100" s="2"/>
      <c r="CJ100" s="2"/>
      <c r="CN100" s="2"/>
      <c r="CV100" s="4"/>
      <c r="DB100" s="2"/>
      <c r="DC100" s="2"/>
      <c r="DE100" s="2"/>
      <c r="DF100" s="2"/>
      <c r="DV100" s="2"/>
      <c r="DW100" s="2"/>
      <c r="EF100" s="4"/>
      <c r="EH100" s="4"/>
      <c r="ER100" s="2"/>
      <c r="ES100" s="2"/>
      <c r="EX100" s="4"/>
      <c r="EZ100" s="4"/>
      <c r="FQ100" s="4"/>
      <c r="FS100" s="4"/>
      <c r="GJ100" s="4"/>
      <c r="GL100" s="4"/>
      <c r="GR100" s="2"/>
      <c r="GU100" s="3"/>
      <c r="GV100" s="2"/>
      <c r="GX100" s="3"/>
      <c r="HB100" s="3"/>
      <c r="HP100" s="2"/>
      <c r="HS100" s="4"/>
      <c r="HU100" s="4"/>
      <c r="II100" s="4"/>
      <c r="IK100" s="4"/>
      <c r="IS100" s="2"/>
      <c r="IT100" s="2"/>
      <c r="IV100" s="2"/>
      <c r="IW100" s="4"/>
      <c r="IY100" s="4"/>
      <c r="JH100" s="2"/>
      <c r="JK100" s="4"/>
      <c r="JM100" s="4"/>
      <c r="KF100" s="4"/>
      <c r="KJ100" s="4"/>
      <c r="KT100" s="2"/>
      <c r="KU100" s="2"/>
      <c r="KW100" s="2"/>
      <c r="LC100" s="2"/>
      <c r="LF100" s="2"/>
      <c r="LK100" s="2"/>
      <c r="LT100" s="4"/>
      <c r="LV100" s="4"/>
      <c r="ME100" s="3"/>
      <c r="NC100" s="2"/>
      <c r="NJ100" s="2"/>
      <c r="NN100" s="2"/>
      <c r="NO100" s="2"/>
      <c r="NT100" s="4"/>
      <c r="NV100" s="4"/>
      <c r="OA100" s="2"/>
      <c r="OB100" s="2"/>
      <c r="OJ100" s="3"/>
      <c r="ON100" s="2"/>
      <c r="OR100" s="4"/>
      <c r="PD100" s="2"/>
      <c r="PH100" s="2"/>
      <c r="PK100" s="3"/>
      <c r="PN100" s="3"/>
      <c r="PQ100" s="2"/>
      <c r="PX100" s="2"/>
      <c r="PZ100" s="2"/>
      <c r="QF100" s="4"/>
      <c r="QH100" s="4"/>
      <c r="QZ100" s="2"/>
      <c r="RA100" s="2"/>
      <c r="RN100" s="4"/>
      <c r="RO100" s="4"/>
      <c r="RT100" s="2"/>
      <c r="RU100" s="2"/>
      <c r="SA100" s="4"/>
      <c r="SC100" s="4"/>
      <c r="SM100" s="3"/>
      <c r="SN100" s="2"/>
      <c r="SQ100" s="4"/>
      <c r="SS100" s="4"/>
      <c r="TG100" s="2"/>
      <c r="TH100" s="2"/>
      <c r="TI100" s="2"/>
      <c r="TU100" s="4"/>
      <c r="TW100" s="4"/>
    </row>
    <row r="101" spans="1:543">
      <c r="A101">
        <v>4639</v>
      </c>
      <c r="B101">
        <v>4628</v>
      </c>
      <c r="C101">
        <v>8680346011</v>
      </c>
      <c r="D101" t="s">
        <v>267</v>
      </c>
      <c r="E101" t="s">
        <v>526</v>
      </c>
      <c r="F101" t="s">
        <v>527</v>
      </c>
      <c r="G101" s="2">
        <v>36737</v>
      </c>
      <c r="H101" t="s">
        <v>30</v>
      </c>
      <c r="I101" t="s">
        <v>70</v>
      </c>
      <c r="J101" t="s">
        <v>61</v>
      </c>
      <c r="K101" t="s">
        <v>528</v>
      </c>
      <c r="L101" t="s">
        <v>95</v>
      </c>
      <c r="M101" s="2">
        <v>31686</v>
      </c>
      <c r="N101" t="s">
        <v>529</v>
      </c>
      <c r="O101" s="2">
        <f>DATE(YEAR(G101) + P101, MONTH(G101), DAY(G101))</f>
        <v>61574</v>
      </c>
      <c r="P101">
        <v>68</v>
      </c>
      <c r="Q101" s="2"/>
      <c r="R101" t="s">
        <v>47</v>
      </c>
      <c r="S101" t="s">
        <v>109</v>
      </c>
      <c r="T101" t="s">
        <v>530</v>
      </c>
      <c r="U101" t="s">
        <v>65</v>
      </c>
      <c r="V101" t="s">
        <v>66</v>
      </c>
      <c r="W101">
        <v>22</v>
      </c>
      <c r="X101" s="1">
        <v>9790</v>
      </c>
      <c r="Y101" s="1">
        <v>1958</v>
      </c>
      <c r="Z101" s="1">
        <v>7832</v>
      </c>
      <c r="AA101" s="3">
        <v>32</v>
      </c>
      <c r="AK101" s="3"/>
      <c r="AM101" s="4"/>
      <c r="AO101" s="4"/>
      <c r="BA101" s="2"/>
      <c r="BB101" s="2"/>
      <c r="BD101" s="4"/>
      <c r="BF101" s="4"/>
      <c r="BM101" s="2"/>
      <c r="BO101" s="4"/>
      <c r="BQ101" s="4"/>
      <c r="CI101" s="2"/>
      <c r="CJ101" s="2"/>
      <c r="CN101" s="2"/>
      <c r="CP101" s="3"/>
      <c r="CQ101" s="2"/>
      <c r="CV101" s="4"/>
      <c r="CX101" s="4"/>
      <c r="DB101" s="2"/>
      <c r="DC101" s="2"/>
      <c r="DF101" s="2"/>
      <c r="DG101" s="3"/>
      <c r="DV101" s="2"/>
      <c r="DW101" s="2"/>
      <c r="EF101" s="4"/>
      <c r="EH101" s="4"/>
      <c r="ES101" s="2"/>
      <c r="EX101" s="4"/>
      <c r="EZ101" s="4"/>
      <c r="FQ101" s="4"/>
      <c r="FS101" s="4"/>
      <c r="GE101" s="2"/>
      <c r="GJ101" s="4"/>
      <c r="GL101" s="4"/>
      <c r="GR101" s="2"/>
      <c r="GS101" s="3"/>
      <c r="GT101" s="3"/>
      <c r="GV101" s="2"/>
      <c r="GY101" s="3"/>
      <c r="HB101" s="3"/>
      <c r="HP101" s="2"/>
      <c r="HS101" s="4"/>
      <c r="HU101" s="4"/>
      <c r="II101" s="4"/>
      <c r="IK101" s="4"/>
      <c r="IT101" s="2"/>
      <c r="IV101" s="2"/>
      <c r="IW101" s="4"/>
      <c r="IY101" s="4"/>
      <c r="JH101" s="2"/>
      <c r="JK101" s="4"/>
      <c r="JM101" s="4"/>
      <c r="JZ101" s="2"/>
      <c r="KD101" s="4"/>
      <c r="KF101" s="4"/>
      <c r="KJ101" s="4"/>
      <c r="KT101" s="2"/>
      <c r="KU101" s="2"/>
      <c r="KW101" s="2"/>
      <c r="LC101" s="2"/>
      <c r="LF101" s="2"/>
      <c r="LK101" s="2"/>
      <c r="LT101" s="4"/>
      <c r="LV101" s="4"/>
      <c r="NB101" s="2"/>
      <c r="NC101" s="2"/>
      <c r="NG101" s="5"/>
      <c r="NJ101" s="2"/>
      <c r="NN101" s="2"/>
      <c r="NO101" s="2"/>
      <c r="NT101" s="4"/>
      <c r="NV101" s="4"/>
      <c r="OA101" s="2"/>
      <c r="OB101" s="2"/>
      <c r="ON101" s="2"/>
      <c r="OR101" s="4"/>
      <c r="OT101" s="4"/>
      <c r="PD101" s="2"/>
      <c r="PH101" s="2"/>
      <c r="PN101" s="3"/>
      <c r="PQ101" s="2"/>
      <c r="PX101" s="2"/>
      <c r="PY101" s="3"/>
      <c r="PZ101" s="2"/>
      <c r="QF101" s="4"/>
      <c r="QH101" s="4"/>
      <c r="QZ101" s="2"/>
      <c r="RA101" s="2"/>
      <c r="RN101" s="4"/>
      <c r="RO101" s="4"/>
      <c r="RR101" s="2"/>
      <c r="RT101" s="2"/>
      <c r="RU101" s="2"/>
      <c r="SA101" s="4"/>
      <c r="SC101" s="4"/>
      <c r="SN101" s="2"/>
      <c r="SQ101" s="4"/>
      <c r="SS101" s="4"/>
      <c r="TG101" s="2"/>
      <c r="TH101" s="2"/>
      <c r="TI101" s="2"/>
      <c r="TU101" s="4"/>
      <c r="TW101" s="4"/>
    </row>
    <row r="102" spans="1:543" ht="15" customHeight="1"/>
    <row r="103" spans="1:543" ht="15" customHeight="1"/>
    <row r="104" spans="1:543" ht="15" customHeight="1"/>
    <row r="105" spans="1:543" ht="15" customHeight="1"/>
    <row r="106" spans="1:543" ht="15" customHeight="1"/>
    <row r="107" spans="1:543" ht="15" customHeight="1"/>
    <row r="108" spans="1:543" ht="15" customHeight="1"/>
    <row r="109" spans="1:543" ht="15" customHeight="1"/>
    <row r="110" spans="1:543" ht="15" customHeight="1"/>
    <row r="111" spans="1:543" ht="15" customHeight="1"/>
    <row r="112" spans="1:543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5421-E727-4D48-8B64-65B1C9580D55}">
  <dimension ref="A1:TW426"/>
  <sheetViews>
    <sheetView zoomScale="130" zoomScaleNormal="130" workbookViewId="0">
      <selection sqref="A1:XFD1048576"/>
    </sheetView>
  </sheetViews>
  <sheetFormatPr defaultRowHeight="15"/>
  <cols>
    <col min="2" max="2" width="19.140625" customWidth="1"/>
    <col min="3" max="3" width="20.5703125" customWidth="1"/>
    <col min="4" max="4" width="17" customWidth="1"/>
    <col min="5" max="5" width="19.140625" customWidth="1"/>
    <col min="6" max="6" width="19.7109375" customWidth="1"/>
    <col min="7" max="7" width="14.140625" customWidth="1"/>
    <col min="8" max="8" width="14.28515625" customWidth="1"/>
    <col min="9" max="9" width="16.28515625" customWidth="1"/>
    <col min="10" max="10" width="20.140625" customWidth="1"/>
    <col min="11" max="11" width="17.140625" customWidth="1"/>
    <col min="12" max="12" width="19.42578125" customWidth="1"/>
    <col min="13" max="13" width="18.5703125" customWidth="1"/>
    <col min="14" max="14" width="20" customWidth="1"/>
    <col min="15" max="15" width="20.42578125" customWidth="1"/>
    <col min="16" max="16" width="22.140625" customWidth="1"/>
    <col min="17" max="17" width="25.5703125" customWidth="1"/>
    <col min="18" max="18" width="23.5703125" customWidth="1"/>
    <col min="19" max="19" width="20" customWidth="1"/>
    <col min="20" max="20" width="22.42578125" customWidth="1"/>
    <col min="22" max="22" width="20.140625" bestFit="1" customWidth="1"/>
    <col min="23" max="23" width="21.7109375" customWidth="1"/>
    <col min="24" max="24" width="19.28515625" style="1" customWidth="1"/>
    <col min="25" max="25" width="17.5703125" style="1" customWidth="1"/>
    <col min="26" max="26" width="19.28515625" style="1" customWidth="1"/>
    <col min="27" max="27" width="17.28515625" customWidth="1"/>
    <col min="28" max="28" width="12.140625" customWidth="1"/>
    <col min="36" max="36" width="12.85546875" customWidth="1"/>
    <col min="37" max="37" width="15.85546875" customWidth="1"/>
    <col min="39" max="39" width="18.85546875" customWidth="1"/>
    <col min="41" max="41" width="25.5703125" customWidth="1"/>
    <col min="48" max="48" width="17.28515625" customWidth="1"/>
    <col min="53" max="53" width="20.7109375" bestFit="1" customWidth="1"/>
    <col min="54" max="54" width="20.28515625" bestFit="1" customWidth="1"/>
    <col min="55" max="55" width="16" bestFit="1" customWidth="1"/>
    <col min="56" max="56" width="16.5703125" bestFit="1" customWidth="1"/>
    <col min="57" max="57" width="16.28515625" bestFit="1" customWidth="1"/>
    <col min="58" max="58" width="16.85546875" bestFit="1" customWidth="1"/>
    <col min="69" max="69" width="21.28515625" customWidth="1"/>
    <col min="102" max="102" width="22.42578125" customWidth="1"/>
    <col min="145" max="145" width="20.85546875" bestFit="1" customWidth="1"/>
    <col min="146" max="146" width="22" bestFit="1" customWidth="1"/>
    <col min="148" max="148" width="23.85546875" bestFit="1" customWidth="1"/>
    <col min="149" max="149" width="22" bestFit="1" customWidth="1"/>
    <col min="150" max="150" width="18.5703125" bestFit="1" customWidth="1"/>
    <col min="151" max="151" width="23" bestFit="1" customWidth="1"/>
    <col min="210" max="210" width="18.140625" customWidth="1"/>
    <col min="286" max="286" width="12.85546875" customWidth="1"/>
    <col min="287" max="287" width="19.42578125" customWidth="1"/>
    <col min="290" max="290" width="17.140625" customWidth="1"/>
    <col min="292" max="292" width="18.5703125" customWidth="1"/>
    <col min="295" max="295" width="15.140625" customWidth="1"/>
    <col min="296" max="296" width="17.5703125" customWidth="1"/>
    <col min="306" max="306" width="17" customWidth="1"/>
  </cols>
  <sheetData>
    <row r="1" spans="1:5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t="s">
        <v>26</v>
      </c>
    </row>
    <row r="2" spans="1:543">
      <c r="A2">
        <v>8438</v>
      </c>
      <c r="B2">
        <v>7386</v>
      </c>
      <c r="C2">
        <v>3157669706</v>
      </c>
      <c r="D2" t="s">
        <v>27</v>
      </c>
      <c r="E2" t="s">
        <v>28</v>
      </c>
      <c r="F2" t="s">
        <v>29</v>
      </c>
      <c r="G2" s="2">
        <v>22154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2"/>
      <c r="N2" t="s">
        <v>35</v>
      </c>
      <c r="O2" s="2">
        <f>DATE(YEAR(G2) + P2, MONTH(G2), DAY(G2))</f>
        <v>45530</v>
      </c>
      <c r="P2">
        <v>64</v>
      </c>
      <c r="Q2" s="2">
        <v>36453</v>
      </c>
      <c r="R2" t="s">
        <v>36</v>
      </c>
      <c r="S2" t="s">
        <v>37</v>
      </c>
      <c r="T2" s="2">
        <v>45290</v>
      </c>
      <c r="U2" t="s">
        <v>38</v>
      </c>
      <c r="V2" t="s">
        <v>39</v>
      </c>
      <c r="W2">
        <v>13</v>
      </c>
      <c r="X2" s="1">
        <v>37700</v>
      </c>
      <c r="Y2" s="1">
        <v>7540</v>
      </c>
      <c r="Z2" s="1">
        <v>30160</v>
      </c>
      <c r="AA2" s="3">
        <v>1034</v>
      </c>
      <c r="AK2" s="3"/>
      <c r="AM2" s="4"/>
      <c r="AO2" s="4"/>
      <c r="BA2" s="2"/>
      <c r="BB2" s="2"/>
      <c r="BD2" s="4"/>
      <c r="BF2" s="4"/>
      <c r="BM2" s="2"/>
      <c r="BO2" s="4"/>
      <c r="BQ2" s="4"/>
      <c r="CI2" s="2"/>
      <c r="CJ2" s="2"/>
      <c r="CN2" s="2"/>
      <c r="CQ2" s="2"/>
      <c r="CV2" s="4"/>
      <c r="CX2" s="4"/>
      <c r="DB2" s="2"/>
      <c r="DC2" s="2"/>
      <c r="DE2" s="2"/>
      <c r="DF2" s="2"/>
      <c r="DV2" s="2"/>
      <c r="DW2" s="2"/>
      <c r="EF2" s="4"/>
      <c r="EH2" s="4"/>
      <c r="ER2" s="2"/>
      <c r="ES2" s="2"/>
      <c r="EX2" s="4"/>
      <c r="EZ2" s="4"/>
      <c r="FQ2" s="4"/>
      <c r="FS2" s="4"/>
      <c r="GE2" s="2"/>
      <c r="GJ2" s="4"/>
      <c r="GL2" s="4"/>
      <c r="GR2" s="2"/>
      <c r="GT2" s="3"/>
      <c r="GV2" s="2"/>
      <c r="GW2" s="3"/>
      <c r="GX2" s="3"/>
      <c r="HB2" s="3"/>
      <c r="HP2" s="2"/>
      <c r="HS2" s="4"/>
      <c r="HU2" s="4"/>
      <c r="IF2" s="3"/>
      <c r="II2" s="4"/>
      <c r="IK2" s="4"/>
      <c r="IS2" s="2"/>
      <c r="IT2" s="2"/>
      <c r="IV2" s="2"/>
      <c r="IW2" s="4"/>
      <c r="JH2" s="2"/>
      <c r="JK2" s="4"/>
      <c r="JM2" s="4"/>
      <c r="JZ2" s="2"/>
      <c r="KD2" s="4"/>
      <c r="KF2" s="4"/>
      <c r="KJ2" s="4"/>
      <c r="KT2" s="2"/>
      <c r="KW2" s="2"/>
      <c r="LC2" s="2"/>
      <c r="LF2" s="2"/>
      <c r="LK2" s="2"/>
      <c r="LT2" s="4"/>
      <c r="LV2" s="4"/>
      <c r="LZ2" s="3"/>
      <c r="NB2" s="2"/>
      <c r="NC2" s="2"/>
      <c r="NH2" s="3"/>
      <c r="NJ2" s="2"/>
      <c r="NN2" s="2"/>
      <c r="NO2" s="2"/>
      <c r="NT2" s="4"/>
      <c r="OA2" s="2"/>
      <c r="OB2" s="2"/>
      <c r="ON2" s="2"/>
      <c r="OR2" s="4"/>
      <c r="OT2" s="4"/>
      <c r="PD2" s="2"/>
      <c r="PH2" s="2"/>
      <c r="PN2" s="3"/>
      <c r="PQ2" s="2"/>
      <c r="PX2" s="2"/>
      <c r="PZ2" s="2"/>
      <c r="QF2" s="4"/>
      <c r="QH2" s="4"/>
      <c r="QZ2" s="2"/>
      <c r="RA2" s="2"/>
      <c r="RN2" s="4"/>
      <c r="RO2" s="4"/>
      <c r="RR2" s="2"/>
      <c r="RT2" s="2"/>
      <c r="RU2" s="2"/>
      <c r="SA2" s="4"/>
      <c r="SC2" s="4"/>
      <c r="SN2" s="2"/>
      <c r="SQ2" s="4"/>
      <c r="SS2" s="4"/>
      <c r="TG2" s="2"/>
      <c r="TH2" s="2"/>
      <c r="TI2" s="2"/>
      <c r="TU2" s="4"/>
      <c r="TW2" s="4"/>
    </row>
    <row r="3" spans="1:543">
      <c r="A3">
        <v>3702</v>
      </c>
      <c r="B3">
        <v>479</v>
      </c>
      <c r="C3">
        <v>6222398910</v>
      </c>
      <c r="D3" t="s">
        <v>40</v>
      </c>
      <c r="E3" t="s">
        <v>41</v>
      </c>
      <c r="F3" t="s">
        <v>42</v>
      </c>
      <c r="G3" s="2">
        <v>40267</v>
      </c>
      <c r="H3" t="s">
        <v>43</v>
      </c>
      <c r="I3" t="s">
        <v>44</v>
      </c>
      <c r="J3" t="s">
        <v>32</v>
      </c>
      <c r="K3" t="s">
        <v>45</v>
      </c>
      <c r="L3" t="s">
        <v>34</v>
      </c>
      <c r="M3" s="2"/>
      <c r="N3" t="s">
        <v>46</v>
      </c>
      <c r="O3" s="2">
        <f>DATE(YEAR(G3) + P3, MONTH(G3), DAY(G3))</f>
        <v>64739</v>
      </c>
      <c r="P3">
        <v>67</v>
      </c>
      <c r="Q3" s="2"/>
      <c r="R3" t="s">
        <v>47</v>
      </c>
      <c r="S3" t="s">
        <v>48</v>
      </c>
      <c r="T3" s="2">
        <v>43451</v>
      </c>
      <c r="U3" t="s">
        <v>49</v>
      </c>
      <c r="V3" t="s">
        <v>38</v>
      </c>
      <c r="W3">
        <v>3</v>
      </c>
      <c r="X3" s="1">
        <v>48488</v>
      </c>
      <c r="Y3" s="1">
        <v>9697.6</v>
      </c>
      <c r="Z3" s="1">
        <v>38790.400000000001</v>
      </c>
      <c r="AA3" s="3">
        <v>228</v>
      </c>
      <c r="AK3" s="3"/>
      <c r="AM3" s="4"/>
      <c r="AO3" s="4"/>
      <c r="BA3" s="2"/>
      <c r="BD3" s="4"/>
      <c r="BF3" s="4"/>
      <c r="BM3" s="2"/>
      <c r="BO3" s="4"/>
      <c r="BQ3" s="4"/>
      <c r="CI3" s="2"/>
      <c r="CJ3" s="2"/>
      <c r="CN3" s="2"/>
      <c r="CQ3" s="2"/>
      <c r="CV3" s="4"/>
      <c r="CX3" s="4"/>
      <c r="DC3" s="2"/>
      <c r="DE3" s="2"/>
      <c r="DF3" s="2"/>
      <c r="DV3" s="2"/>
      <c r="DW3" s="2"/>
      <c r="EF3" s="4"/>
      <c r="EH3" s="4"/>
      <c r="ER3" s="2"/>
      <c r="EX3" s="4"/>
      <c r="EZ3" s="4"/>
      <c r="FQ3" s="4"/>
      <c r="FS3" s="4"/>
      <c r="GE3" s="2"/>
      <c r="GJ3" s="4"/>
      <c r="GR3" s="2"/>
      <c r="GT3" s="3"/>
      <c r="GV3" s="2"/>
      <c r="GX3" s="3"/>
      <c r="GY3" s="3"/>
      <c r="HB3" s="3"/>
      <c r="HP3" s="2"/>
      <c r="HS3" s="4"/>
      <c r="HU3" s="4"/>
      <c r="II3" s="4"/>
      <c r="IK3" s="4"/>
      <c r="IS3" s="2"/>
      <c r="IT3" s="2"/>
      <c r="IV3" s="2"/>
      <c r="IW3" s="4"/>
      <c r="IY3" s="4"/>
      <c r="JH3" s="2"/>
      <c r="JK3" s="4"/>
      <c r="JZ3" s="2"/>
      <c r="KI3" s="3"/>
      <c r="KJ3" s="4"/>
      <c r="KT3" s="2"/>
      <c r="KU3" s="2"/>
      <c r="KW3" s="2"/>
      <c r="LC3" s="2"/>
      <c r="LF3" s="2"/>
      <c r="LK3" s="2"/>
      <c r="LT3" s="4"/>
      <c r="LV3" s="4"/>
      <c r="NB3" s="2"/>
      <c r="NC3" s="2"/>
      <c r="NG3" s="5"/>
      <c r="NH3" s="3"/>
      <c r="NJ3" s="2"/>
      <c r="NN3" s="2"/>
      <c r="NO3" s="2"/>
      <c r="NT3" s="4"/>
      <c r="NV3" s="4"/>
      <c r="OA3" s="2"/>
      <c r="OB3" s="2"/>
      <c r="ON3" s="2"/>
      <c r="OR3" s="4"/>
      <c r="OT3" s="4"/>
      <c r="PD3" s="2"/>
      <c r="PH3" s="2"/>
      <c r="PI3" s="3"/>
      <c r="PQ3" s="2"/>
      <c r="PX3" s="2"/>
      <c r="PZ3" s="2"/>
      <c r="QF3" s="4"/>
      <c r="QH3" s="4"/>
      <c r="QX3" s="3"/>
      <c r="QZ3" s="2"/>
      <c r="RA3" s="2"/>
      <c r="RM3" s="3"/>
      <c r="RN3" s="4"/>
      <c r="RO3" s="4"/>
      <c r="RR3" s="2"/>
      <c r="RU3" s="2"/>
      <c r="SA3" s="4"/>
      <c r="SC3" s="4"/>
      <c r="SN3" s="2"/>
      <c r="SQ3" s="4"/>
      <c r="SS3" s="4"/>
      <c r="TG3" s="2"/>
      <c r="TH3" s="2"/>
      <c r="TI3" s="2"/>
      <c r="TU3" s="4"/>
      <c r="TW3" s="4"/>
    </row>
    <row r="4" spans="1:543">
      <c r="A4">
        <v>9664</v>
      </c>
      <c r="B4">
        <v>6488</v>
      </c>
      <c r="C4">
        <v>2380750556</v>
      </c>
      <c r="D4" t="s">
        <v>50</v>
      </c>
      <c r="E4" t="s">
        <v>51</v>
      </c>
      <c r="F4" t="s">
        <v>52</v>
      </c>
      <c r="G4" s="2">
        <v>24258</v>
      </c>
      <c r="H4" t="s">
        <v>30</v>
      </c>
      <c r="I4" t="s">
        <v>53</v>
      </c>
      <c r="J4" t="s">
        <v>32</v>
      </c>
      <c r="K4" t="s">
        <v>54</v>
      </c>
      <c r="L4" t="s">
        <v>34</v>
      </c>
      <c r="M4" s="2"/>
      <c r="N4" t="s">
        <v>55</v>
      </c>
      <c r="O4" s="2">
        <f>DATE(YEAR(G4) + P4, MONTH(G4), DAY(G4))</f>
        <v>46173</v>
      </c>
      <c r="P4">
        <v>60</v>
      </c>
      <c r="R4" t="s">
        <v>47</v>
      </c>
      <c r="S4" t="s">
        <v>48</v>
      </c>
      <c r="T4" s="2">
        <v>23526</v>
      </c>
      <c r="U4" t="s">
        <v>38</v>
      </c>
      <c r="V4" t="s">
        <v>56</v>
      </c>
      <c r="W4">
        <v>12</v>
      </c>
      <c r="X4" s="1">
        <v>9666</v>
      </c>
      <c r="Y4" s="1">
        <v>1933.2</v>
      </c>
      <c r="Z4" s="1">
        <v>7732.8</v>
      </c>
      <c r="AA4" s="3">
        <v>1132</v>
      </c>
      <c r="AK4" s="3"/>
      <c r="AM4" s="4"/>
      <c r="AO4" s="4"/>
      <c r="BA4" s="2"/>
      <c r="BB4" s="2"/>
      <c r="BD4" s="4"/>
      <c r="BF4" s="4"/>
      <c r="BM4" s="2"/>
      <c r="BO4" s="4"/>
      <c r="BQ4" s="4"/>
      <c r="CH4" s="3"/>
      <c r="CI4" s="2"/>
      <c r="CJ4" s="2"/>
      <c r="CN4" s="2"/>
      <c r="CQ4" s="2"/>
      <c r="CV4" s="4"/>
      <c r="CX4" s="4"/>
      <c r="CZ4" s="3"/>
      <c r="DB4" s="2"/>
      <c r="DC4" s="2"/>
      <c r="DE4" s="2"/>
      <c r="DV4" s="2"/>
      <c r="DW4" s="2"/>
      <c r="EF4" s="4"/>
      <c r="EH4" s="4"/>
      <c r="ER4" s="2"/>
      <c r="ES4" s="2"/>
      <c r="EX4" s="4"/>
      <c r="EZ4" s="4"/>
      <c r="FQ4" s="4"/>
      <c r="FS4" s="4"/>
      <c r="GE4" s="2"/>
      <c r="GJ4" s="4"/>
      <c r="GL4" s="4"/>
      <c r="GR4" s="2"/>
      <c r="GT4" s="3"/>
      <c r="GU4" s="3"/>
      <c r="GV4" s="2"/>
      <c r="HB4" s="3"/>
      <c r="HP4" s="2"/>
      <c r="HS4" s="4"/>
      <c r="HU4" s="4"/>
      <c r="II4" s="4"/>
      <c r="IS4" s="2"/>
      <c r="IT4" s="2"/>
      <c r="IV4" s="2"/>
      <c r="IW4" s="4"/>
      <c r="IY4" s="4"/>
      <c r="JH4" s="2"/>
      <c r="JK4" s="4"/>
      <c r="JM4" s="4"/>
      <c r="JZ4" s="2"/>
      <c r="KD4" s="4"/>
      <c r="KF4" s="4"/>
      <c r="KU4" s="2"/>
      <c r="KW4" s="2"/>
      <c r="LC4" s="2"/>
      <c r="LF4" s="2"/>
      <c r="LK4" s="2"/>
      <c r="LT4" s="4"/>
      <c r="LV4" s="4"/>
      <c r="NB4" s="2"/>
      <c r="NJ4" s="2"/>
      <c r="NN4" s="2"/>
      <c r="NO4" s="2"/>
      <c r="NV4" s="4"/>
      <c r="OA4" s="2"/>
      <c r="OB4" s="2"/>
      <c r="ON4" s="2"/>
      <c r="OR4" s="4"/>
      <c r="OT4" s="4"/>
      <c r="PD4" s="2"/>
      <c r="PH4" s="2"/>
      <c r="PQ4" s="2"/>
      <c r="PX4" s="2"/>
      <c r="PZ4" s="2"/>
      <c r="QF4" s="4"/>
      <c r="QH4" s="4"/>
      <c r="QZ4" s="2"/>
      <c r="RA4" s="2"/>
      <c r="RN4" s="4"/>
      <c r="RO4" s="4"/>
      <c r="RR4" s="2"/>
      <c r="RU4" s="2"/>
      <c r="SA4" s="4"/>
      <c r="SC4" s="4"/>
      <c r="SN4" s="2"/>
      <c r="SQ4" s="4"/>
      <c r="SS4" s="4"/>
      <c r="TG4" s="2"/>
      <c r="TH4" s="2"/>
      <c r="TI4" s="2"/>
      <c r="TU4" s="4"/>
      <c r="TW4" s="4"/>
    </row>
    <row r="5" spans="1:543">
      <c r="A5">
        <v>7135</v>
      </c>
      <c r="B5">
        <v>5766</v>
      </c>
      <c r="C5">
        <v>8749594656</v>
      </c>
      <c r="D5" t="s">
        <v>57</v>
      </c>
      <c r="E5" t="s">
        <v>58</v>
      </c>
      <c r="F5" t="s">
        <v>59</v>
      </c>
      <c r="G5" s="2">
        <v>34675</v>
      </c>
      <c r="H5" t="s">
        <v>30</v>
      </c>
      <c r="I5" t="s">
        <v>60</v>
      </c>
      <c r="J5" t="s">
        <v>61</v>
      </c>
      <c r="K5" t="s">
        <v>62</v>
      </c>
      <c r="L5" t="s">
        <v>34</v>
      </c>
      <c r="M5" s="2"/>
      <c r="N5" t="s">
        <v>63</v>
      </c>
      <c r="O5" s="2">
        <f>DATE(YEAR(G5) + P5, MONTH(G5), DAY(G5))</f>
        <v>59877</v>
      </c>
      <c r="P5">
        <v>69</v>
      </c>
      <c r="Q5" s="2"/>
      <c r="R5" t="s">
        <v>47</v>
      </c>
      <c r="S5" t="s">
        <v>64</v>
      </c>
      <c r="T5" s="2">
        <v>43799</v>
      </c>
      <c r="U5" t="s">
        <v>65</v>
      </c>
      <c r="V5" t="s">
        <v>66</v>
      </c>
      <c r="W5">
        <v>20</v>
      </c>
      <c r="X5" s="1">
        <v>99337</v>
      </c>
      <c r="Y5" s="1">
        <v>19867.400000000001</v>
      </c>
      <c r="Z5" s="1">
        <v>79469.600000000006</v>
      </c>
      <c r="AA5" s="3">
        <v>512</v>
      </c>
      <c r="AK5" s="3"/>
      <c r="AM5" s="4"/>
      <c r="AO5" s="4"/>
      <c r="BA5" s="2"/>
      <c r="BB5" s="2"/>
      <c r="BD5" s="4"/>
      <c r="BF5" s="4"/>
      <c r="BM5" s="2"/>
      <c r="BO5" s="4"/>
      <c r="BQ5" s="4"/>
      <c r="CF5" s="3"/>
      <c r="CI5" s="2"/>
      <c r="CJ5" s="2"/>
      <c r="CL5" s="3"/>
      <c r="CN5" s="2"/>
      <c r="CQ5" s="2"/>
      <c r="CV5" s="4"/>
      <c r="CX5" s="4"/>
      <c r="CZ5" s="3"/>
      <c r="DB5" s="2"/>
      <c r="DC5" s="2"/>
      <c r="DE5" s="2"/>
      <c r="DF5" s="2"/>
      <c r="DV5" s="2"/>
      <c r="DW5" s="2"/>
      <c r="DY5" s="3"/>
      <c r="EF5" s="4"/>
      <c r="EH5" s="4"/>
      <c r="ER5" s="2"/>
      <c r="ES5" s="2"/>
      <c r="EX5" s="4"/>
      <c r="EZ5" s="4"/>
      <c r="FQ5" s="4"/>
      <c r="FS5" s="4"/>
      <c r="GE5" s="2"/>
      <c r="GJ5" s="4"/>
      <c r="GL5" s="4"/>
      <c r="GR5" s="2"/>
      <c r="GT5" s="3"/>
      <c r="GV5" s="2"/>
      <c r="GY5" s="3"/>
      <c r="HB5" s="3"/>
      <c r="HO5" s="3"/>
      <c r="HP5" s="2"/>
      <c r="HS5" s="4"/>
      <c r="IF5" s="3"/>
      <c r="II5" s="4"/>
      <c r="IK5" s="4"/>
      <c r="IS5" s="2"/>
      <c r="IT5" s="2"/>
      <c r="IV5" s="2"/>
      <c r="IW5" s="4"/>
      <c r="IY5" s="4"/>
      <c r="JK5" s="4"/>
      <c r="JM5" s="4"/>
      <c r="JZ5" s="2"/>
      <c r="KD5" s="4"/>
      <c r="KF5" s="4"/>
      <c r="KT5" s="2"/>
      <c r="KW5" s="2"/>
      <c r="LC5" s="2"/>
      <c r="LF5" s="2"/>
      <c r="LK5" s="2"/>
      <c r="LT5" s="4"/>
      <c r="LV5" s="4"/>
      <c r="NB5" s="2"/>
      <c r="NC5" s="2"/>
      <c r="NH5" s="3"/>
      <c r="NJ5" s="2"/>
      <c r="NN5" s="2"/>
      <c r="NO5" s="2"/>
      <c r="NT5" s="4"/>
      <c r="NV5" s="4"/>
      <c r="OA5" s="2"/>
      <c r="OB5" s="2"/>
      <c r="OO5" s="3"/>
      <c r="OR5" s="4"/>
      <c r="OT5" s="4"/>
      <c r="PD5" s="2"/>
      <c r="PH5" s="2"/>
      <c r="PI5" s="3"/>
      <c r="PQ5" s="2"/>
      <c r="PX5" s="2"/>
      <c r="PZ5" s="2"/>
      <c r="QF5" s="4"/>
      <c r="QH5" s="4"/>
      <c r="QZ5" s="2"/>
      <c r="RA5" s="2"/>
      <c r="RN5" s="4"/>
      <c r="RO5" s="4"/>
      <c r="RR5" s="2"/>
      <c r="RT5" s="2"/>
      <c r="RU5" s="2"/>
      <c r="SA5" s="4"/>
      <c r="SC5" s="4"/>
      <c r="SN5" s="2"/>
      <c r="SQ5" s="4"/>
      <c r="SS5" s="4"/>
      <c r="TG5" s="2"/>
      <c r="TH5" s="2"/>
      <c r="TI5" s="2"/>
      <c r="TU5" s="4"/>
      <c r="TW5" s="4"/>
    </row>
    <row r="6" spans="1:543">
      <c r="A6">
        <v>1231</v>
      </c>
      <c r="B6">
        <v>5467</v>
      </c>
      <c r="C6">
        <v>3749084927</v>
      </c>
      <c r="D6" t="s">
        <v>67</v>
      </c>
      <c r="E6" t="s">
        <v>68</v>
      </c>
      <c r="F6" t="s">
        <v>69</v>
      </c>
      <c r="G6" s="2">
        <v>33649</v>
      </c>
      <c r="H6" t="s">
        <v>30</v>
      </c>
      <c r="I6" t="s">
        <v>70</v>
      </c>
      <c r="J6" t="s">
        <v>32</v>
      </c>
      <c r="L6" t="s">
        <v>34</v>
      </c>
      <c r="M6" s="2"/>
      <c r="N6" t="s">
        <v>71</v>
      </c>
      <c r="O6" s="2">
        <f>DATE(YEAR(G6) + P6, MONTH(G6), DAY(G6))</f>
        <v>59217</v>
      </c>
      <c r="P6">
        <v>70</v>
      </c>
      <c r="Q6" s="2">
        <v>42585</v>
      </c>
      <c r="R6" t="s">
        <v>36</v>
      </c>
      <c r="S6" t="s">
        <v>37</v>
      </c>
      <c r="T6" s="2">
        <v>39033</v>
      </c>
      <c r="U6" t="s">
        <v>65</v>
      </c>
      <c r="V6" t="s">
        <v>66</v>
      </c>
      <c r="W6">
        <v>11</v>
      </c>
      <c r="X6" s="1">
        <v>89020</v>
      </c>
      <c r="Y6" s="1">
        <v>17804</v>
      </c>
      <c r="Z6" s="1">
        <v>71216</v>
      </c>
      <c r="AA6" s="3">
        <v>1138</v>
      </c>
      <c r="AK6" s="3"/>
      <c r="AM6" s="4"/>
      <c r="BA6" s="2"/>
      <c r="BB6" s="2"/>
      <c r="BD6" s="4"/>
      <c r="BF6" s="4"/>
      <c r="BM6" s="2"/>
      <c r="BO6" s="4"/>
      <c r="BQ6" s="4"/>
      <c r="CI6" s="2"/>
      <c r="CN6" s="2"/>
      <c r="CP6" s="3"/>
      <c r="CQ6" s="2"/>
      <c r="CV6" s="4"/>
      <c r="CX6" s="4"/>
      <c r="DB6" s="2"/>
      <c r="DC6" s="2"/>
      <c r="DE6" s="2"/>
      <c r="DF6" s="2"/>
      <c r="DV6" s="2"/>
      <c r="DW6" s="2"/>
      <c r="EF6" s="4"/>
      <c r="EH6" s="4"/>
      <c r="ER6" s="2"/>
      <c r="ES6" s="2"/>
      <c r="EX6" s="4"/>
      <c r="FQ6" s="4"/>
      <c r="FS6" s="4"/>
      <c r="GE6" s="2"/>
      <c r="GJ6" s="4"/>
      <c r="GL6" s="4"/>
      <c r="GR6" s="2"/>
      <c r="GV6" s="2"/>
      <c r="GY6" s="3"/>
      <c r="HB6" s="3"/>
      <c r="HN6" s="3"/>
      <c r="HP6" s="2"/>
      <c r="HS6" s="4"/>
      <c r="HU6" s="4"/>
      <c r="II6" s="4"/>
      <c r="IK6" s="4"/>
      <c r="IT6" s="2"/>
      <c r="IV6" s="2"/>
      <c r="IW6" s="4"/>
      <c r="JH6" s="2"/>
      <c r="JK6" s="4"/>
      <c r="JM6" s="4"/>
      <c r="JZ6" s="2"/>
      <c r="KD6" s="4"/>
      <c r="KF6" s="4"/>
      <c r="KJ6" s="4"/>
      <c r="KT6" s="2"/>
      <c r="KU6" s="2"/>
      <c r="KW6" s="2"/>
      <c r="LC6" s="2"/>
      <c r="LF6" s="2"/>
      <c r="LK6" s="2"/>
      <c r="LT6" s="4"/>
      <c r="LV6" s="4"/>
      <c r="NB6" s="2"/>
      <c r="NC6" s="2"/>
      <c r="NG6" s="5"/>
      <c r="NJ6" s="2"/>
      <c r="NN6" s="2"/>
      <c r="NO6" s="2"/>
      <c r="NT6" s="4"/>
      <c r="NV6" s="4"/>
      <c r="OA6" s="2"/>
      <c r="OB6" s="2"/>
      <c r="ON6" s="2"/>
      <c r="OR6" s="4"/>
      <c r="OT6" s="4"/>
      <c r="PD6" s="2"/>
      <c r="PH6" s="2"/>
      <c r="PK6" s="3"/>
      <c r="PQ6" s="2"/>
      <c r="PX6" s="2"/>
      <c r="PZ6" s="2"/>
      <c r="QF6" s="4"/>
      <c r="QH6" s="4"/>
      <c r="QZ6" s="2"/>
      <c r="RA6" s="2"/>
      <c r="RN6" s="4"/>
      <c r="RO6" s="4"/>
      <c r="RR6" s="2"/>
      <c r="RT6" s="2"/>
      <c r="RU6" s="2"/>
      <c r="SA6" s="4"/>
      <c r="SC6" s="4"/>
      <c r="SN6" s="2"/>
      <c r="SQ6" s="4"/>
      <c r="SS6" s="4"/>
      <c r="TG6" s="2"/>
      <c r="TO6" s="3"/>
      <c r="TP6" s="3"/>
      <c r="TU6" s="4"/>
      <c r="TW6" s="4"/>
    </row>
    <row r="7" spans="1:543">
      <c r="A7">
        <v>9553</v>
      </c>
      <c r="B7">
        <v>9135</v>
      </c>
      <c r="C7">
        <v>1523905023</v>
      </c>
      <c r="D7" t="s">
        <v>72</v>
      </c>
      <c r="E7" t="s">
        <v>73</v>
      </c>
      <c r="F7" t="s">
        <v>74</v>
      </c>
      <c r="G7" s="2">
        <v>40121</v>
      </c>
      <c r="H7" t="s">
        <v>43</v>
      </c>
      <c r="I7" t="s">
        <v>75</v>
      </c>
      <c r="J7" t="s">
        <v>32</v>
      </c>
      <c r="K7" t="s">
        <v>76</v>
      </c>
      <c r="L7" t="s">
        <v>77</v>
      </c>
      <c r="M7" s="2"/>
      <c r="N7" t="s">
        <v>78</v>
      </c>
      <c r="O7" s="2">
        <f>DATE(YEAR(G7) + P7, MONTH(G7), DAY(G7))</f>
        <v>64593</v>
      </c>
      <c r="P7">
        <v>67</v>
      </c>
      <c r="Q7" s="2"/>
      <c r="R7" t="s">
        <v>47</v>
      </c>
      <c r="S7" t="s">
        <v>64</v>
      </c>
      <c r="T7" s="2">
        <v>42178</v>
      </c>
      <c r="U7" t="s">
        <v>38</v>
      </c>
      <c r="V7" t="s">
        <v>66</v>
      </c>
      <c r="W7">
        <v>5</v>
      </c>
      <c r="X7" s="1">
        <v>25089</v>
      </c>
      <c r="Y7" s="1">
        <v>5017.8</v>
      </c>
      <c r="Z7" s="1">
        <v>41295.31</v>
      </c>
      <c r="AA7" s="3">
        <v>252</v>
      </c>
      <c r="AK7" s="3"/>
      <c r="AM7" s="4"/>
      <c r="AO7" s="4"/>
      <c r="BA7" s="2"/>
      <c r="BD7" s="4"/>
      <c r="BF7" s="4"/>
      <c r="BM7" s="2"/>
      <c r="BO7" s="4"/>
      <c r="BQ7" s="4"/>
      <c r="CI7" s="2"/>
      <c r="CJ7" s="2"/>
      <c r="CN7" s="2"/>
      <c r="CQ7" s="2"/>
      <c r="CV7" s="4"/>
      <c r="CX7" s="4"/>
      <c r="DC7" s="2"/>
      <c r="DE7" s="2"/>
      <c r="DF7" s="2"/>
      <c r="DG7" s="3"/>
      <c r="DV7" s="2"/>
      <c r="DW7" s="2"/>
      <c r="DY7" s="3"/>
      <c r="EF7" s="4"/>
      <c r="EH7" s="4"/>
      <c r="ER7" s="2"/>
      <c r="ES7" s="2"/>
      <c r="EX7" s="4"/>
      <c r="EZ7" s="4"/>
      <c r="FQ7" s="4"/>
      <c r="GE7" s="2"/>
      <c r="GJ7" s="4"/>
      <c r="GL7" s="4"/>
      <c r="GR7" s="2"/>
      <c r="GU7" s="3"/>
      <c r="GV7" s="2"/>
      <c r="GW7" s="3"/>
      <c r="GX7" s="3"/>
      <c r="HB7" s="3"/>
      <c r="HP7" s="2"/>
      <c r="HS7" s="4"/>
      <c r="HU7" s="4"/>
      <c r="II7" s="4"/>
      <c r="IK7" s="4"/>
      <c r="IS7" s="2"/>
      <c r="IT7" s="2"/>
      <c r="IV7" s="2"/>
      <c r="IW7" s="4"/>
      <c r="IY7" s="4"/>
      <c r="JH7" s="2"/>
      <c r="JK7" s="4"/>
      <c r="JM7" s="4"/>
      <c r="JZ7" s="2"/>
      <c r="KD7" s="4"/>
      <c r="KF7" s="4"/>
      <c r="KJ7" s="4"/>
      <c r="KT7" s="2"/>
      <c r="KU7" s="2"/>
      <c r="KW7" s="2"/>
      <c r="LC7" s="2"/>
      <c r="LF7" s="2"/>
      <c r="LK7" s="2"/>
      <c r="LT7" s="4"/>
      <c r="LV7" s="4"/>
      <c r="MD7" s="3"/>
      <c r="NB7" s="2"/>
      <c r="NC7" s="2"/>
      <c r="NJ7" s="2"/>
      <c r="NN7" s="2"/>
      <c r="NO7" s="2"/>
      <c r="NT7" s="4"/>
      <c r="NV7" s="4"/>
      <c r="OA7" s="2"/>
      <c r="OB7" s="2"/>
      <c r="ON7" s="2"/>
      <c r="OR7" s="4"/>
      <c r="OT7" s="4"/>
      <c r="PD7" s="2"/>
      <c r="PH7" s="2"/>
      <c r="PQ7" s="2"/>
      <c r="PX7" s="2"/>
      <c r="PZ7" s="2"/>
      <c r="QF7" s="4"/>
      <c r="QH7" s="4"/>
      <c r="QZ7" s="2"/>
      <c r="RA7" s="2"/>
      <c r="RN7" s="4"/>
      <c r="RR7" s="2"/>
      <c r="RT7" s="2"/>
      <c r="RU7" s="2"/>
      <c r="SC7" s="4"/>
      <c r="SN7" s="2"/>
      <c r="SQ7" s="4"/>
      <c r="SS7" s="4"/>
      <c r="TG7" s="2"/>
      <c r="TH7" s="2"/>
      <c r="TI7" s="2"/>
      <c r="TP7" s="3"/>
      <c r="TU7" s="4"/>
      <c r="TW7" s="4"/>
    </row>
    <row r="8" spans="1:543">
      <c r="A8">
        <v>3545</v>
      </c>
      <c r="B8">
        <v>1951</v>
      </c>
      <c r="C8">
        <v>2877524120</v>
      </c>
      <c r="D8" t="s">
        <v>79</v>
      </c>
      <c r="E8" t="s">
        <v>80</v>
      </c>
      <c r="F8" t="s">
        <v>81</v>
      </c>
      <c r="G8" s="2">
        <v>40390</v>
      </c>
      <c r="H8" t="s">
        <v>43</v>
      </c>
      <c r="I8" t="s">
        <v>44</v>
      </c>
      <c r="J8" t="s">
        <v>32</v>
      </c>
      <c r="K8" t="s">
        <v>82</v>
      </c>
      <c r="L8" t="s">
        <v>77</v>
      </c>
      <c r="M8" s="2"/>
      <c r="N8" t="s">
        <v>83</v>
      </c>
      <c r="O8" s="2">
        <v>59142</v>
      </c>
      <c r="P8">
        <v>68</v>
      </c>
      <c r="Q8" s="2"/>
      <c r="R8" t="s">
        <v>47</v>
      </c>
      <c r="S8" t="s">
        <v>37</v>
      </c>
      <c r="T8" s="2">
        <v>34577</v>
      </c>
      <c r="U8" t="s">
        <v>65</v>
      </c>
      <c r="V8" t="s">
        <v>56</v>
      </c>
      <c r="W8">
        <v>8</v>
      </c>
      <c r="X8" s="1">
        <v>21217</v>
      </c>
      <c r="Y8" s="1">
        <v>4243.4000000000005</v>
      </c>
      <c r="Z8" s="1">
        <v>16973.599999999999</v>
      </c>
      <c r="AA8" s="3">
        <v>154</v>
      </c>
      <c r="AK8" s="3"/>
      <c r="AM8" s="4"/>
      <c r="AO8" s="4"/>
      <c r="BA8" s="2"/>
      <c r="BB8" s="2"/>
      <c r="BD8" s="4"/>
      <c r="BF8" s="4"/>
      <c r="BM8" s="2"/>
      <c r="BQ8" s="4"/>
      <c r="CF8" s="3"/>
      <c r="CI8" s="2"/>
      <c r="CJ8" s="2"/>
      <c r="CQ8" s="2"/>
      <c r="CV8" s="4"/>
      <c r="CX8" s="4"/>
      <c r="DC8" s="2"/>
      <c r="DE8" s="2"/>
      <c r="DF8" s="2"/>
      <c r="DV8" s="2"/>
      <c r="DW8" s="2"/>
      <c r="EF8" s="4"/>
      <c r="EH8" s="4"/>
      <c r="ES8" s="2"/>
      <c r="EX8" s="4"/>
      <c r="EZ8" s="4"/>
      <c r="FQ8" s="4"/>
      <c r="GE8" s="2"/>
      <c r="GJ8" s="4"/>
      <c r="GL8" s="4"/>
      <c r="GR8" s="2"/>
      <c r="GV8" s="2"/>
      <c r="GW8" s="3"/>
      <c r="GX8" s="3"/>
      <c r="GY8" s="3"/>
      <c r="HP8" s="2"/>
      <c r="HS8" s="4"/>
      <c r="HU8" s="4"/>
      <c r="IF8" s="3"/>
      <c r="II8" s="4"/>
      <c r="IK8" s="4"/>
      <c r="IS8" s="2"/>
      <c r="IT8" s="2"/>
      <c r="IV8" s="2"/>
      <c r="IW8" s="4"/>
      <c r="IY8" s="4"/>
      <c r="JH8" s="2"/>
      <c r="JK8" s="4"/>
      <c r="JM8" s="4"/>
      <c r="JZ8" s="2"/>
      <c r="KD8" s="4"/>
      <c r="KF8" s="4"/>
      <c r="KJ8" s="4"/>
      <c r="KT8" s="2"/>
      <c r="KU8" s="2"/>
      <c r="KW8" s="2"/>
      <c r="LC8" s="2"/>
      <c r="LF8" s="2"/>
      <c r="LK8" s="2"/>
      <c r="LT8" s="4"/>
      <c r="LV8" s="4"/>
      <c r="MF8" s="3"/>
      <c r="NB8" s="2"/>
      <c r="NC8" s="2"/>
      <c r="NJ8" s="2"/>
      <c r="NN8" s="2"/>
      <c r="NO8" s="2"/>
      <c r="NT8" s="4"/>
      <c r="NV8" s="4"/>
      <c r="OA8" s="2"/>
      <c r="OB8" s="2"/>
      <c r="ON8" s="2"/>
      <c r="OR8" s="4"/>
      <c r="OT8" s="4"/>
      <c r="PD8" s="2"/>
      <c r="PH8" s="2"/>
      <c r="PX8" s="2"/>
      <c r="PZ8" s="2"/>
      <c r="QF8" s="4"/>
      <c r="QH8" s="4"/>
      <c r="QZ8" s="2"/>
      <c r="RA8" s="2"/>
      <c r="RN8" s="4"/>
      <c r="RO8" s="4"/>
      <c r="RR8" s="2"/>
      <c r="RT8" s="2"/>
      <c r="RU8" s="2"/>
      <c r="SA8" s="4"/>
      <c r="SC8" s="4"/>
      <c r="SN8" s="2"/>
      <c r="SQ8" s="4"/>
      <c r="SS8" s="4"/>
      <c r="TH8" s="2"/>
      <c r="TI8" s="2"/>
      <c r="TU8" s="4"/>
    </row>
    <row r="9" spans="1:543">
      <c r="A9">
        <v>8062</v>
      </c>
      <c r="B9">
        <v>5473</v>
      </c>
      <c r="C9">
        <v>1337033331</v>
      </c>
      <c r="D9" t="s">
        <v>84</v>
      </c>
      <c r="E9" t="s">
        <v>85</v>
      </c>
      <c r="F9" t="s">
        <v>86</v>
      </c>
      <c r="G9" s="2">
        <v>32841</v>
      </c>
      <c r="H9" t="s">
        <v>43</v>
      </c>
      <c r="I9" t="s">
        <v>87</v>
      </c>
      <c r="J9" t="s">
        <v>61</v>
      </c>
      <c r="K9" t="s">
        <v>88</v>
      </c>
      <c r="L9" t="s">
        <v>77</v>
      </c>
      <c r="M9" s="2">
        <v>39934</v>
      </c>
      <c r="N9" t="s">
        <v>89</v>
      </c>
      <c r="O9" s="2">
        <f>DATE(YEAR(G9) + P9, MONTH(G9), DAY(G9))</f>
        <v>57678</v>
      </c>
      <c r="P9">
        <v>68</v>
      </c>
      <c r="Q9" s="2"/>
      <c r="R9" t="s">
        <v>47</v>
      </c>
      <c r="S9" t="s">
        <v>64</v>
      </c>
      <c r="T9" s="2">
        <v>45413</v>
      </c>
      <c r="U9" t="s">
        <v>38</v>
      </c>
      <c r="V9" t="s">
        <v>56</v>
      </c>
      <c r="W9">
        <v>24</v>
      </c>
      <c r="X9" s="1">
        <v>98961</v>
      </c>
      <c r="Y9" s="1">
        <v>19792.2</v>
      </c>
      <c r="Z9" s="1">
        <v>79168.800000000003</v>
      </c>
      <c r="AA9" s="3">
        <v>1912</v>
      </c>
      <c r="AK9" s="3"/>
      <c r="AM9" s="4"/>
      <c r="AO9" s="4"/>
      <c r="BA9" s="2"/>
      <c r="BB9" s="2"/>
      <c r="BD9" s="4"/>
      <c r="BF9" s="4"/>
      <c r="BM9" s="2"/>
      <c r="BO9" s="4"/>
      <c r="BQ9" s="4"/>
      <c r="CI9" s="2"/>
      <c r="CJ9" s="2"/>
      <c r="CN9" s="2"/>
      <c r="CV9" s="4"/>
      <c r="CX9" s="4"/>
      <c r="DC9" s="2"/>
      <c r="DE9" s="2"/>
      <c r="DV9" s="2"/>
      <c r="DW9" s="2"/>
      <c r="DY9" s="3"/>
      <c r="EF9" s="4"/>
      <c r="EH9" s="4"/>
      <c r="ES9" s="2"/>
      <c r="EX9" s="4"/>
      <c r="EZ9" s="4"/>
      <c r="FQ9" s="4"/>
      <c r="FS9" s="4"/>
      <c r="GE9" s="2"/>
      <c r="GJ9" s="4"/>
      <c r="GL9" s="4"/>
      <c r="GR9" s="2"/>
      <c r="GS9" s="3"/>
      <c r="GV9" s="2"/>
      <c r="GX9" s="3"/>
      <c r="HB9" s="3"/>
      <c r="HP9" s="2"/>
      <c r="HS9" s="4"/>
      <c r="HU9" s="4"/>
      <c r="II9" s="4"/>
      <c r="IK9" s="4"/>
      <c r="IS9" s="2"/>
      <c r="IT9" s="2"/>
      <c r="IV9" s="2"/>
      <c r="IW9" s="4"/>
      <c r="IY9" s="4"/>
      <c r="JH9" s="2"/>
      <c r="JK9" s="4"/>
      <c r="JM9" s="4"/>
      <c r="JZ9" s="2"/>
      <c r="KD9" s="4"/>
      <c r="KF9" s="4"/>
      <c r="KJ9" s="4"/>
      <c r="KT9" s="2"/>
      <c r="KU9" s="2"/>
      <c r="KW9" s="2"/>
      <c r="LC9" s="2"/>
      <c r="LF9" s="2"/>
      <c r="LK9" s="2"/>
      <c r="LT9" s="4"/>
      <c r="LV9" s="4"/>
      <c r="NB9" s="2"/>
      <c r="NC9" s="2"/>
      <c r="NJ9" s="2"/>
      <c r="NN9" s="2"/>
      <c r="NT9" s="4"/>
      <c r="NV9" s="4"/>
      <c r="OA9" s="2"/>
      <c r="ON9" s="2"/>
      <c r="OR9" s="4"/>
      <c r="OT9" s="4"/>
      <c r="PD9" s="2"/>
      <c r="PH9" s="2"/>
      <c r="PN9" s="3"/>
      <c r="PQ9" s="2"/>
      <c r="PX9" s="2"/>
      <c r="PZ9" s="2"/>
      <c r="QF9" s="4"/>
      <c r="QH9" s="4"/>
      <c r="QZ9" s="2"/>
      <c r="RA9" s="2"/>
      <c r="RN9" s="4"/>
      <c r="RO9" s="4"/>
      <c r="RR9" s="2"/>
      <c r="RT9" s="2"/>
      <c r="RU9" s="2"/>
      <c r="SA9" s="4"/>
      <c r="SC9" s="4"/>
      <c r="SN9" s="2"/>
      <c r="SQ9" s="4"/>
      <c r="SS9" s="4"/>
      <c r="TG9" s="2"/>
      <c r="TH9" s="2"/>
      <c r="TI9" s="2"/>
      <c r="TU9" s="4"/>
      <c r="TW9" s="4"/>
    </row>
    <row r="10" spans="1:543">
      <c r="A10">
        <v>2400</v>
      </c>
      <c r="B10">
        <v>7257</v>
      </c>
      <c r="C10" s="3" t="s">
        <v>90</v>
      </c>
      <c r="D10" t="s">
        <v>91</v>
      </c>
      <c r="E10" t="s">
        <v>92</v>
      </c>
      <c r="F10" t="s">
        <v>93</v>
      </c>
      <c r="G10" s="2"/>
      <c r="H10" t="s">
        <v>30</v>
      </c>
      <c r="I10" t="s">
        <v>53</v>
      </c>
      <c r="J10" t="s">
        <v>32</v>
      </c>
      <c r="K10" t="s">
        <v>94</v>
      </c>
      <c r="L10" t="s">
        <v>95</v>
      </c>
      <c r="M10" s="2"/>
      <c r="N10" t="s">
        <v>96</v>
      </c>
      <c r="O10" s="2">
        <f>DATE(YEAR(G10) + P10, MONTH(G10), DAY(G10))</f>
        <v>25568</v>
      </c>
      <c r="P10">
        <v>70</v>
      </c>
      <c r="Q10" s="2"/>
      <c r="R10" t="s">
        <v>47</v>
      </c>
      <c r="S10" t="s">
        <v>48</v>
      </c>
      <c r="T10" s="2">
        <v>44236</v>
      </c>
      <c r="U10" t="s">
        <v>49</v>
      </c>
      <c r="V10" t="s">
        <v>38</v>
      </c>
      <c r="W10">
        <v>10</v>
      </c>
      <c r="X10" s="1">
        <v>74362</v>
      </c>
      <c r="Y10" s="1">
        <v>14872.400000000001</v>
      </c>
      <c r="Z10" s="1">
        <v>59489.599999999999</v>
      </c>
      <c r="AA10" s="3">
        <v>1612</v>
      </c>
      <c r="AK10" s="3"/>
      <c r="AM10" s="4"/>
      <c r="AO10" s="4"/>
      <c r="BA10" s="2"/>
      <c r="BB10" s="2"/>
      <c r="BD10" s="4"/>
      <c r="BF10" s="4"/>
      <c r="BM10" s="2"/>
      <c r="BO10" s="4"/>
      <c r="BQ10" s="4"/>
      <c r="CI10" s="2"/>
      <c r="CJ10" s="2"/>
      <c r="CN10" s="2"/>
      <c r="CQ10" s="2"/>
      <c r="CV10" s="4"/>
      <c r="CX10" s="4"/>
      <c r="CZ10" s="3"/>
      <c r="DB10" s="2"/>
      <c r="DC10" s="2"/>
      <c r="DF10" s="2"/>
      <c r="DV10" s="2"/>
      <c r="DW10" s="2"/>
      <c r="EF10" s="4"/>
      <c r="EH10" s="4"/>
      <c r="ER10" s="2"/>
      <c r="ES10" s="2"/>
      <c r="EX10" s="4"/>
      <c r="EZ10" s="4"/>
      <c r="FQ10" s="4"/>
      <c r="FS10" s="4"/>
      <c r="GJ10" s="4"/>
      <c r="GL10" s="4"/>
      <c r="GR10" s="2"/>
      <c r="GT10" s="3"/>
      <c r="GU10" s="3"/>
      <c r="GV10" s="2"/>
      <c r="GY10" s="3"/>
      <c r="HB10" s="3"/>
      <c r="HP10" s="2"/>
      <c r="HS10" s="4"/>
      <c r="HU10" s="4"/>
      <c r="II10" s="4"/>
      <c r="IK10" s="4"/>
      <c r="IS10" s="2"/>
      <c r="IT10" s="2"/>
      <c r="IV10" s="2"/>
      <c r="IW10" s="4"/>
      <c r="IY10" s="4"/>
      <c r="JH10" s="2"/>
      <c r="JK10" s="4"/>
      <c r="JM10" s="4"/>
      <c r="JZ10" s="2"/>
      <c r="KD10" s="4"/>
      <c r="KF10" s="4"/>
      <c r="KJ10" s="4"/>
      <c r="KT10" s="2"/>
      <c r="KU10" s="2"/>
      <c r="KW10" s="2"/>
      <c r="LC10" s="2"/>
      <c r="LF10" s="2"/>
      <c r="LK10" s="2"/>
      <c r="LT10" s="4"/>
      <c r="LV10" s="4"/>
      <c r="ME10" s="3"/>
      <c r="MN10" s="5"/>
      <c r="NB10" s="2"/>
      <c r="NC10" s="2"/>
      <c r="NJ10" s="2"/>
      <c r="NO10" s="2"/>
      <c r="NT10" s="4"/>
      <c r="NV10" s="4"/>
      <c r="OA10" s="2"/>
      <c r="OB10" s="2"/>
      <c r="ON10" s="2"/>
      <c r="OR10" s="4"/>
      <c r="OT10" s="4"/>
      <c r="PD10" s="2"/>
      <c r="PH10" s="2"/>
      <c r="PQ10" s="2"/>
      <c r="PX10" s="2"/>
      <c r="PZ10" s="2"/>
      <c r="QF10" s="4"/>
      <c r="QH10" s="4"/>
      <c r="QZ10" s="2"/>
      <c r="RA10" s="2"/>
      <c r="RN10" s="4"/>
      <c r="RO10" s="4"/>
      <c r="RR10" s="2"/>
      <c r="RT10" s="2"/>
      <c r="RU10" s="2"/>
      <c r="SA10" s="4"/>
      <c r="SC10" s="4"/>
      <c r="SN10" s="2"/>
      <c r="SQ10" s="4"/>
      <c r="SS10" s="4"/>
      <c r="TH10" s="2"/>
      <c r="TI10" s="2"/>
      <c r="TW10" s="4"/>
    </row>
    <row r="11" spans="1:543">
      <c r="A11">
        <v>1936</v>
      </c>
      <c r="B11">
        <v>8551</v>
      </c>
      <c r="C11">
        <v>6874644557</v>
      </c>
      <c r="D11" t="s">
        <v>97</v>
      </c>
      <c r="E11" t="s">
        <v>98</v>
      </c>
      <c r="F11" t="s">
        <v>99</v>
      </c>
      <c r="G11" s="2">
        <v>32492</v>
      </c>
      <c r="H11" t="s">
        <v>30</v>
      </c>
      <c r="I11" t="s">
        <v>87</v>
      </c>
      <c r="J11" t="s">
        <v>32</v>
      </c>
      <c r="K11" t="s">
        <v>100</v>
      </c>
      <c r="L11" t="s">
        <v>34</v>
      </c>
      <c r="M11" s="2"/>
      <c r="N11" t="s">
        <v>101</v>
      </c>
      <c r="O11" s="2">
        <f>DATE(YEAR(G11) + P11, MONTH(G11), DAY(G11))</f>
        <v>55868</v>
      </c>
      <c r="P11">
        <v>64</v>
      </c>
      <c r="Q11" s="2">
        <v>30838</v>
      </c>
      <c r="R11" t="s">
        <v>36</v>
      </c>
      <c r="S11" t="s">
        <v>102</v>
      </c>
      <c r="T11" s="2">
        <v>43430</v>
      </c>
      <c r="U11" t="s">
        <v>103</v>
      </c>
      <c r="V11" t="s">
        <v>56</v>
      </c>
      <c r="W11">
        <v>24</v>
      </c>
      <c r="X11" s="1">
        <v>39297</v>
      </c>
      <c r="Y11" s="1">
        <v>7859.4000000000005</v>
      </c>
      <c r="Z11" s="1">
        <v>31437.599999999999</v>
      </c>
      <c r="AA11" s="3">
        <v>716</v>
      </c>
      <c r="AJ11" s="3"/>
      <c r="AK11" s="3"/>
      <c r="AM11" s="4"/>
      <c r="AO11" s="4"/>
      <c r="BA11" s="2"/>
      <c r="BB11" s="2"/>
      <c r="BD11" s="4"/>
      <c r="BF11" s="4"/>
      <c r="BM11" s="2"/>
      <c r="BO11" s="4"/>
      <c r="CI11" s="2"/>
      <c r="CJ11" s="2"/>
      <c r="CN11" s="2"/>
      <c r="CQ11" s="2"/>
      <c r="CV11" s="4"/>
      <c r="CX11" s="4"/>
      <c r="DB11" s="2"/>
      <c r="DC11" s="2"/>
      <c r="DE11" s="2"/>
      <c r="DF11" s="2"/>
      <c r="DV11" s="2"/>
      <c r="DW11" s="2"/>
      <c r="EF11" s="4"/>
      <c r="EH11" s="4"/>
      <c r="ER11" s="2"/>
      <c r="ES11" s="2"/>
      <c r="EX11" s="4"/>
      <c r="EZ11" s="4"/>
      <c r="FQ11" s="4"/>
      <c r="FS11" s="4"/>
      <c r="GE11" s="2"/>
      <c r="GJ11" s="4"/>
      <c r="GL11" s="4"/>
      <c r="GS11" s="3"/>
      <c r="GT11" s="3"/>
      <c r="GV11" s="2"/>
      <c r="GX11" s="3"/>
      <c r="GY11" s="3"/>
      <c r="HB11" s="3"/>
      <c r="HS11" s="4"/>
      <c r="HU11" s="4"/>
      <c r="II11" s="4"/>
      <c r="IK11" s="4"/>
      <c r="IS11" s="2"/>
      <c r="IT11" s="2"/>
      <c r="IV11" s="2"/>
      <c r="IW11" s="4"/>
      <c r="IY11" s="4"/>
      <c r="JH11" s="2"/>
      <c r="JK11" s="4"/>
      <c r="JM11" s="4"/>
      <c r="JZ11" s="2"/>
      <c r="KD11" s="4"/>
      <c r="KF11" s="4"/>
      <c r="KJ11" s="4"/>
      <c r="KT11" s="2"/>
      <c r="KU11" s="2"/>
      <c r="KW11" s="2"/>
      <c r="LC11" s="2"/>
      <c r="LF11" s="2"/>
      <c r="LK11" s="2"/>
      <c r="LT11" s="4"/>
      <c r="LV11" s="4"/>
      <c r="MA11" s="3"/>
      <c r="NB11" s="2"/>
      <c r="NC11" s="2"/>
      <c r="NJ11" s="2"/>
      <c r="NN11" s="2"/>
      <c r="NO11" s="2"/>
      <c r="NT11" s="4"/>
      <c r="NV11" s="4"/>
      <c r="OA11" s="2"/>
      <c r="OB11" s="2"/>
      <c r="ON11" s="2"/>
      <c r="OR11" s="4"/>
      <c r="PD11" s="2"/>
      <c r="PH11" s="2"/>
      <c r="PQ11" s="2"/>
      <c r="PX11" s="2"/>
      <c r="PZ11" s="2"/>
      <c r="QF11" s="4"/>
      <c r="QH11" s="4"/>
      <c r="QZ11" s="2"/>
      <c r="RA11" s="2"/>
      <c r="RR11" s="2"/>
      <c r="RT11" s="2"/>
      <c r="RU11" s="2"/>
      <c r="SA11" s="4"/>
      <c r="SC11" s="4"/>
      <c r="SN11" s="2"/>
      <c r="SQ11" s="4"/>
      <c r="SS11" s="4"/>
      <c r="TG11" s="2"/>
      <c r="TH11" s="2"/>
      <c r="TI11" s="2"/>
      <c r="TU11" s="4"/>
      <c r="TW11" s="4"/>
    </row>
    <row r="12" spans="1:543">
      <c r="A12">
        <v>9803</v>
      </c>
      <c r="B12">
        <v>2581</v>
      </c>
      <c r="C12">
        <v>6649504982</v>
      </c>
      <c r="D12" t="s">
        <v>104</v>
      </c>
      <c r="E12" t="s">
        <v>105</v>
      </c>
      <c r="F12" t="s">
        <v>106</v>
      </c>
      <c r="G12" s="2">
        <v>40527</v>
      </c>
      <c r="H12" t="s">
        <v>43</v>
      </c>
      <c r="I12" t="s">
        <v>31</v>
      </c>
      <c r="J12" t="s">
        <v>32</v>
      </c>
      <c r="K12" t="s">
        <v>107</v>
      </c>
      <c r="L12" t="s">
        <v>34</v>
      </c>
      <c r="M12" s="2"/>
      <c r="N12" t="s">
        <v>108</v>
      </c>
      <c r="O12" s="2">
        <f>DATE(YEAR(G12) + P12, MONTH(G12), DAY(G12))</f>
        <v>63538</v>
      </c>
      <c r="P12">
        <v>63</v>
      </c>
      <c r="Q12" s="2"/>
      <c r="R12" t="s">
        <v>47</v>
      </c>
      <c r="S12" t="s">
        <v>109</v>
      </c>
      <c r="T12" s="2">
        <v>41273</v>
      </c>
      <c r="U12" t="s">
        <v>38</v>
      </c>
      <c r="V12" t="s">
        <v>56</v>
      </c>
      <c r="W12">
        <v>9</v>
      </c>
      <c r="X12" s="1">
        <v>61135</v>
      </c>
      <c r="Y12" s="1">
        <v>12227</v>
      </c>
      <c r="Z12" s="1">
        <v>48908</v>
      </c>
      <c r="AA12" s="3">
        <v>886</v>
      </c>
      <c r="AK12" s="3"/>
      <c r="AM12" s="4"/>
      <c r="AO12" s="4"/>
      <c r="BA12" s="2"/>
      <c r="BB12" s="2"/>
      <c r="BD12" s="4"/>
      <c r="BF12" s="4"/>
      <c r="BM12" s="2"/>
      <c r="BQ12" s="4"/>
      <c r="CI12" s="2"/>
      <c r="CJ12" s="2"/>
      <c r="CL12" s="3"/>
      <c r="CN12" s="2"/>
      <c r="CV12" s="4"/>
      <c r="CX12" s="4"/>
      <c r="DB12" s="2"/>
      <c r="DC12" s="2"/>
      <c r="DD12" s="3"/>
      <c r="DE12" s="2"/>
      <c r="DF12" s="2"/>
      <c r="DV12" s="2"/>
      <c r="DW12" s="2"/>
      <c r="EF12" s="4"/>
      <c r="EH12" s="4"/>
      <c r="ER12" s="2"/>
      <c r="ES12" s="2"/>
      <c r="EX12" s="4"/>
      <c r="EZ12" s="4"/>
      <c r="FQ12" s="4"/>
      <c r="FS12" s="4"/>
      <c r="GE12" s="2"/>
      <c r="GG12" s="3"/>
      <c r="GJ12" s="4"/>
      <c r="GL12" s="4"/>
      <c r="GR12" s="2"/>
      <c r="GV12" s="2"/>
      <c r="GW12" s="3"/>
      <c r="GX12" s="3"/>
      <c r="HB12" s="3"/>
      <c r="HP12" s="2"/>
      <c r="HS12" s="4"/>
      <c r="HU12" s="4"/>
      <c r="II12" s="4"/>
      <c r="IK12" s="4"/>
      <c r="IS12" s="2"/>
      <c r="IT12" s="2"/>
      <c r="IV12" s="2"/>
      <c r="IW12" s="4"/>
      <c r="IY12" s="4"/>
      <c r="JH12" s="2"/>
      <c r="JK12" s="4"/>
      <c r="JM12" s="4"/>
      <c r="KD12" s="4"/>
      <c r="KF12" s="4"/>
      <c r="KJ12" s="4"/>
      <c r="KT12" s="2"/>
      <c r="KU12" s="2"/>
      <c r="KW12" s="2"/>
      <c r="LC12" s="2"/>
      <c r="LF12" s="2"/>
      <c r="LK12" s="2"/>
      <c r="LT12" s="4"/>
      <c r="LV12" s="4"/>
      <c r="LZ12" s="3"/>
      <c r="NB12" s="2"/>
      <c r="NC12" s="2"/>
      <c r="NG12" s="5"/>
      <c r="NJ12" s="2"/>
      <c r="NN12" s="2"/>
      <c r="NO12" s="2"/>
      <c r="NT12" s="4"/>
      <c r="NV12" s="4"/>
      <c r="OA12" s="2"/>
      <c r="OB12" s="2"/>
      <c r="ON12" s="2"/>
      <c r="OR12" s="4"/>
      <c r="PD12" s="2"/>
      <c r="PI12" s="3"/>
      <c r="PQ12" s="2"/>
      <c r="PX12" s="2"/>
      <c r="PZ12" s="2"/>
      <c r="QF12" s="4"/>
      <c r="QH12" s="4"/>
      <c r="QJ12" s="3"/>
      <c r="QZ12" s="2"/>
      <c r="RA12" s="2"/>
      <c r="RN12" s="4"/>
      <c r="RO12" s="4"/>
      <c r="RR12" s="2"/>
      <c r="RT12" s="2"/>
      <c r="RU12" s="2"/>
      <c r="SC12" s="4"/>
      <c r="SN12" s="2"/>
      <c r="SQ12" s="4"/>
      <c r="SS12" s="4"/>
      <c r="TG12" s="2"/>
      <c r="TH12" s="2"/>
      <c r="TI12" s="2"/>
      <c r="TU12" s="4"/>
      <c r="TW12" s="4"/>
    </row>
    <row r="13" spans="1:543">
      <c r="A13">
        <v>6807</v>
      </c>
      <c r="B13">
        <v>2451</v>
      </c>
      <c r="C13">
        <v>6086261591</v>
      </c>
      <c r="D13" t="s">
        <v>110</v>
      </c>
      <c r="E13" t="s">
        <v>111</v>
      </c>
      <c r="F13" t="s">
        <v>112</v>
      </c>
      <c r="G13" s="2">
        <v>34332</v>
      </c>
      <c r="H13" t="s">
        <v>30</v>
      </c>
      <c r="I13" t="s">
        <v>113</v>
      </c>
      <c r="J13" t="s">
        <v>32</v>
      </c>
      <c r="K13" t="s">
        <v>114</v>
      </c>
      <c r="L13" t="s">
        <v>77</v>
      </c>
      <c r="M13" s="2"/>
      <c r="N13" t="s">
        <v>115</v>
      </c>
      <c r="O13" s="2">
        <f>DATE(YEAR(G13) + P13, MONTH(G13), DAY(G13))</f>
        <v>58438</v>
      </c>
      <c r="P13">
        <v>66</v>
      </c>
      <c r="Q13" s="2"/>
      <c r="R13" t="s">
        <v>47</v>
      </c>
      <c r="S13" t="s">
        <v>109</v>
      </c>
      <c r="T13" s="2">
        <v>35132</v>
      </c>
      <c r="U13" t="s">
        <v>65</v>
      </c>
      <c r="V13" t="s">
        <v>66</v>
      </c>
      <c r="W13">
        <v>28</v>
      </c>
      <c r="X13" s="1">
        <v>83655</v>
      </c>
      <c r="Y13" s="1">
        <v>16731</v>
      </c>
      <c r="Z13" s="1">
        <v>66924</v>
      </c>
      <c r="AA13" s="3">
        <v>1424</v>
      </c>
      <c r="AK13" s="3"/>
      <c r="AM13" s="4"/>
      <c r="AO13" s="4"/>
      <c r="BA13" s="2"/>
      <c r="BB13" s="2"/>
      <c r="BD13" s="4"/>
      <c r="BF13" s="4"/>
      <c r="BM13" s="2"/>
      <c r="BO13" s="4"/>
      <c r="BQ13" s="4"/>
      <c r="CI13" s="2"/>
      <c r="CJ13" s="2"/>
      <c r="CM13" s="3"/>
      <c r="CN13" s="2"/>
      <c r="CQ13" s="2"/>
      <c r="CV13" s="4"/>
      <c r="CZ13" s="3"/>
      <c r="DB13" s="2"/>
      <c r="DC13" s="2"/>
      <c r="DE13" s="2"/>
      <c r="DF13" s="2"/>
      <c r="DG13" s="3"/>
      <c r="DV13" s="2"/>
      <c r="DW13" s="2"/>
      <c r="DY13" s="3"/>
      <c r="EF13" s="4"/>
      <c r="ER13" s="2"/>
      <c r="ES13" s="2"/>
      <c r="EX13" s="4"/>
      <c r="EZ13" s="4"/>
      <c r="FQ13" s="4"/>
      <c r="FS13" s="4"/>
      <c r="GE13" s="2"/>
      <c r="GG13" s="3"/>
      <c r="GJ13" s="4"/>
      <c r="GL13" s="4"/>
      <c r="GR13" s="2"/>
      <c r="GS13" s="3"/>
      <c r="GV13" s="2"/>
      <c r="GW13" s="3"/>
      <c r="HB13" s="3"/>
      <c r="HN13" s="3"/>
      <c r="HP13" s="2"/>
      <c r="HS13" s="4"/>
      <c r="HU13" s="4"/>
      <c r="II13" s="4"/>
      <c r="IK13" s="4"/>
      <c r="IS13" s="2"/>
      <c r="IT13" s="2"/>
      <c r="IV13" s="2"/>
      <c r="IW13" s="4"/>
      <c r="IY13" s="4"/>
      <c r="JH13" s="2"/>
      <c r="JK13" s="4"/>
      <c r="JM13" s="4"/>
      <c r="JZ13" s="2"/>
      <c r="KD13" s="4"/>
      <c r="KF13" s="4"/>
      <c r="KJ13" s="4"/>
      <c r="KT13" s="2"/>
      <c r="KU13" s="2"/>
      <c r="LC13" s="2"/>
      <c r="LF13" s="2"/>
      <c r="LK13" s="2"/>
      <c r="LT13" s="4"/>
      <c r="LV13" s="4"/>
      <c r="NB13" s="2"/>
      <c r="NC13" s="2"/>
      <c r="NG13" s="5"/>
      <c r="NJ13" s="2"/>
      <c r="NN13" s="2"/>
      <c r="NO13" s="2"/>
      <c r="NT13" s="4"/>
      <c r="NV13" s="4"/>
      <c r="OA13" s="2"/>
      <c r="OB13" s="2"/>
      <c r="ON13" s="2"/>
      <c r="OR13" s="4"/>
      <c r="OT13" s="4"/>
      <c r="PD13" s="2"/>
      <c r="PH13" s="2"/>
      <c r="PQ13" s="2"/>
      <c r="PX13" s="2"/>
      <c r="PZ13" s="2"/>
      <c r="QF13" s="4"/>
      <c r="QH13" s="4"/>
      <c r="QX13" s="3"/>
      <c r="QZ13" s="2"/>
      <c r="RA13" s="2"/>
      <c r="RO13" s="4"/>
      <c r="RR13" s="2"/>
      <c r="RT13" s="2"/>
      <c r="RU13" s="2"/>
      <c r="SA13" s="4"/>
      <c r="SC13" s="4"/>
      <c r="SN13" s="2"/>
      <c r="SQ13" s="4"/>
      <c r="TG13" s="2"/>
      <c r="TI13" s="2"/>
      <c r="TU13" s="4"/>
      <c r="TW13" s="4"/>
    </row>
    <row r="14" spans="1:543">
      <c r="A14">
        <v>2980</v>
      </c>
      <c r="B14">
        <v>8243</v>
      </c>
      <c r="C14">
        <v>3392646743</v>
      </c>
      <c r="D14" t="s">
        <v>116</v>
      </c>
      <c r="E14" t="s">
        <v>117</v>
      </c>
      <c r="F14" t="s">
        <v>118</v>
      </c>
      <c r="G14" s="2">
        <v>39101</v>
      </c>
      <c r="H14" t="s">
        <v>43</v>
      </c>
      <c r="I14" t="s">
        <v>60</v>
      </c>
      <c r="J14" t="s">
        <v>32</v>
      </c>
      <c r="K14" t="s">
        <v>119</v>
      </c>
      <c r="L14" t="s">
        <v>95</v>
      </c>
      <c r="M14" s="2"/>
      <c r="N14" t="s">
        <v>120</v>
      </c>
      <c r="O14" s="2">
        <f>DATE(YEAR(G14) + P14, MONTH(G14), DAY(G14))</f>
        <v>64669</v>
      </c>
      <c r="P14">
        <v>70</v>
      </c>
      <c r="Q14" s="2"/>
      <c r="R14" t="s">
        <v>47</v>
      </c>
      <c r="S14" t="s">
        <v>48</v>
      </c>
      <c r="T14" s="2">
        <v>23504</v>
      </c>
      <c r="U14" t="s">
        <v>38</v>
      </c>
      <c r="V14" t="s">
        <v>56</v>
      </c>
      <c r="W14">
        <v>11</v>
      </c>
      <c r="X14" s="1">
        <v>69450</v>
      </c>
      <c r="Y14" s="1">
        <v>13890</v>
      </c>
      <c r="Z14" s="1">
        <v>55560</v>
      </c>
      <c r="AA14" s="3">
        <v>758</v>
      </c>
      <c r="AK14" s="3"/>
      <c r="AM14" s="4"/>
      <c r="AO14" s="4"/>
      <c r="BA14" s="2"/>
      <c r="BB14" s="2"/>
      <c r="BD14" s="4"/>
      <c r="BF14" s="4"/>
      <c r="BM14" s="2"/>
      <c r="BO14" s="4"/>
      <c r="BQ14" s="4"/>
      <c r="CF14" s="3"/>
      <c r="CI14" s="2"/>
      <c r="CJ14" s="2"/>
      <c r="CM14" s="3"/>
      <c r="CN14" s="2"/>
      <c r="CQ14" s="2"/>
      <c r="CV14" s="4"/>
      <c r="CX14" s="4"/>
      <c r="DB14" s="2"/>
      <c r="DC14" s="2"/>
      <c r="DE14" s="2"/>
      <c r="DF14" s="2"/>
      <c r="DV14" s="2"/>
      <c r="DW14" s="2"/>
      <c r="DY14" s="3"/>
      <c r="EF14" s="4"/>
      <c r="EH14" s="4"/>
      <c r="ER14" s="2"/>
      <c r="ES14" s="2"/>
      <c r="EV14" s="3"/>
      <c r="EX14" s="4"/>
      <c r="EZ14" s="4"/>
      <c r="FQ14" s="4"/>
      <c r="FS14" s="4"/>
      <c r="GE14" s="2"/>
      <c r="GJ14" s="4"/>
      <c r="GL14" s="4"/>
      <c r="GV14" s="2"/>
      <c r="GY14" s="3"/>
      <c r="HB14" s="3"/>
      <c r="HP14" s="2"/>
      <c r="HS14" s="4"/>
      <c r="HU14" s="4"/>
      <c r="II14" s="4"/>
      <c r="IK14" s="4"/>
      <c r="IS14" s="2"/>
      <c r="IT14" s="2"/>
      <c r="IV14" s="2"/>
      <c r="IW14" s="4"/>
      <c r="IY14" s="4"/>
      <c r="JH14" s="2"/>
      <c r="JK14" s="4"/>
      <c r="JM14" s="4"/>
      <c r="JZ14" s="2"/>
      <c r="KD14" s="4"/>
      <c r="KF14" s="4"/>
      <c r="KJ14" s="4"/>
      <c r="KT14" s="2"/>
      <c r="KU14" s="2"/>
      <c r="KW14" s="2"/>
      <c r="LC14" s="2"/>
      <c r="LF14" s="2"/>
      <c r="LK14" s="2"/>
      <c r="LT14" s="4"/>
      <c r="LV14" s="4"/>
      <c r="MJ14" s="3"/>
      <c r="NB14" s="2"/>
      <c r="NC14" s="2"/>
      <c r="NH14" s="3"/>
      <c r="NJ14" s="2"/>
      <c r="NN14" s="2"/>
      <c r="NO14" s="2"/>
      <c r="NT14" s="4"/>
      <c r="NV14" s="4"/>
      <c r="OA14" s="2"/>
      <c r="OB14" s="2"/>
      <c r="ON14" s="2"/>
      <c r="OR14" s="4"/>
      <c r="OT14" s="4"/>
      <c r="PD14" s="2"/>
      <c r="PH14" s="2"/>
      <c r="PP14" s="3"/>
      <c r="PQ14" s="2"/>
      <c r="PZ14" s="2"/>
      <c r="QF14" s="4"/>
      <c r="QZ14" s="2"/>
      <c r="RA14" s="2"/>
      <c r="RN14" s="4"/>
      <c r="RO14" s="4"/>
      <c r="RR14" s="2"/>
      <c r="RT14" s="2"/>
      <c r="RU14" s="2"/>
      <c r="SA14" s="4"/>
      <c r="SC14" s="4"/>
      <c r="SN14" s="2"/>
      <c r="SS14" s="4"/>
      <c r="TG14" s="2"/>
      <c r="TH14" s="2"/>
      <c r="TI14" s="2"/>
      <c r="TU14" s="4"/>
      <c r="TW14" s="4"/>
    </row>
    <row r="15" spans="1:543">
      <c r="A15">
        <v>3760</v>
      </c>
      <c r="B15">
        <v>6300</v>
      </c>
      <c r="C15">
        <v>8273991497</v>
      </c>
      <c r="D15" t="s">
        <v>121</v>
      </c>
      <c r="E15" t="s">
        <v>122</v>
      </c>
      <c r="F15" t="s">
        <v>123</v>
      </c>
      <c r="G15" s="2">
        <v>40277</v>
      </c>
      <c r="H15" t="s">
        <v>30</v>
      </c>
      <c r="I15" t="s">
        <v>124</v>
      </c>
      <c r="J15" t="s">
        <v>32</v>
      </c>
      <c r="K15" t="s">
        <v>125</v>
      </c>
      <c r="L15" t="s">
        <v>34</v>
      </c>
      <c r="M15" s="2"/>
      <c r="N15" t="s">
        <v>126</v>
      </c>
      <c r="O15" s="2">
        <f>DATE(YEAR(G15) + P15, MONTH(G15), DAY(G15))</f>
        <v>62923</v>
      </c>
      <c r="P15">
        <v>62</v>
      </c>
      <c r="Q15" s="2"/>
      <c r="R15" t="s">
        <v>47</v>
      </c>
      <c r="S15" t="s">
        <v>109</v>
      </c>
      <c r="T15" t="s">
        <v>127</v>
      </c>
      <c r="U15" t="s">
        <v>49</v>
      </c>
      <c r="V15" t="s">
        <v>39</v>
      </c>
      <c r="W15">
        <v>28</v>
      </c>
      <c r="X15" s="1">
        <v>45055</v>
      </c>
      <c r="Y15" s="1">
        <v>9011</v>
      </c>
      <c r="Z15" s="1">
        <v>36044</v>
      </c>
      <c r="AA15" s="3">
        <v>1162</v>
      </c>
      <c r="AK15" s="3"/>
      <c r="AM15" s="4"/>
      <c r="AO15" s="4"/>
      <c r="BA15" s="2"/>
      <c r="BB15" s="2"/>
      <c r="BD15" s="4"/>
      <c r="BF15" s="4"/>
      <c r="BM15" s="2"/>
      <c r="BO15" s="4"/>
      <c r="BQ15" s="4"/>
      <c r="CI15" s="2"/>
      <c r="CJ15" s="2"/>
      <c r="CN15" s="2"/>
      <c r="CQ15" s="2"/>
      <c r="CV15" s="4"/>
      <c r="CX15" s="4"/>
      <c r="DB15" s="2"/>
      <c r="DC15" s="2"/>
      <c r="DE15" s="2"/>
      <c r="DF15" s="2"/>
      <c r="DV15" s="2"/>
      <c r="DW15" s="2"/>
      <c r="EF15" s="4"/>
      <c r="EH15" s="4"/>
      <c r="ER15" s="2"/>
      <c r="ES15" s="2"/>
      <c r="EX15" s="4"/>
      <c r="EZ15" s="4"/>
      <c r="FQ15" s="4"/>
      <c r="FS15" s="4"/>
      <c r="GE15" s="2"/>
      <c r="GJ15" s="4"/>
      <c r="GL15" s="4"/>
      <c r="GR15" s="2"/>
      <c r="GV15" s="2"/>
      <c r="GX15" s="3"/>
      <c r="HB15" s="3"/>
      <c r="HP15" s="2"/>
      <c r="HS15" s="4"/>
      <c r="HU15" s="4"/>
      <c r="II15" s="4"/>
      <c r="IS15" s="2"/>
      <c r="IT15" s="2"/>
      <c r="IV15" s="2"/>
      <c r="IW15" s="4"/>
      <c r="JH15" s="2"/>
      <c r="JK15" s="4"/>
      <c r="JM15" s="4"/>
      <c r="JZ15" s="2"/>
      <c r="KD15" s="4"/>
      <c r="KF15" s="4"/>
      <c r="KJ15" s="4"/>
      <c r="KT15" s="2"/>
      <c r="LC15" s="2"/>
      <c r="LF15" s="2"/>
      <c r="LK15" s="2"/>
      <c r="LT15" s="4"/>
      <c r="NB15" s="2"/>
      <c r="NC15" s="2"/>
      <c r="NJ15" s="2"/>
      <c r="NN15" s="2"/>
      <c r="NO15" s="2"/>
      <c r="NT15" s="4"/>
      <c r="NV15" s="4"/>
      <c r="OA15" s="2"/>
      <c r="OB15" s="2"/>
      <c r="ON15" s="2"/>
      <c r="OR15" s="4"/>
      <c r="OT15" s="4"/>
      <c r="PD15" s="2"/>
      <c r="PH15" s="2"/>
      <c r="PQ15" s="2"/>
      <c r="PX15" s="2"/>
      <c r="PZ15" s="2"/>
      <c r="QF15" s="4"/>
      <c r="QH15" s="4"/>
      <c r="QZ15" s="2"/>
      <c r="RN15" s="4"/>
      <c r="RO15" s="4"/>
      <c r="RR15" s="2"/>
      <c r="RU15" s="2"/>
      <c r="SC15" s="4"/>
      <c r="SN15" s="2"/>
      <c r="SQ15" s="4"/>
      <c r="SS15" s="4"/>
      <c r="TH15" s="2"/>
      <c r="TI15" s="2"/>
      <c r="TU15" s="4"/>
      <c r="TW15" s="4"/>
    </row>
    <row r="16" spans="1:543">
      <c r="A16">
        <v>3743</v>
      </c>
      <c r="B16">
        <v>6544</v>
      </c>
      <c r="C16">
        <v>4134732831</v>
      </c>
      <c r="D16" t="s">
        <v>97</v>
      </c>
      <c r="E16" t="s">
        <v>128</v>
      </c>
      <c r="F16" t="s">
        <v>129</v>
      </c>
      <c r="G16" s="2">
        <v>39982</v>
      </c>
      <c r="H16" t="s">
        <v>43</v>
      </c>
      <c r="I16" t="s">
        <v>130</v>
      </c>
      <c r="J16" t="s">
        <v>32</v>
      </c>
      <c r="K16" t="s">
        <v>131</v>
      </c>
      <c r="L16" t="s">
        <v>95</v>
      </c>
      <c r="M16" s="2"/>
      <c r="N16" t="s">
        <v>132</v>
      </c>
      <c r="O16" s="2">
        <f>DATE(YEAR(G16) + P16, MONTH(G16), DAY(G16))</f>
        <v>62993</v>
      </c>
      <c r="P16">
        <v>63</v>
      </c>
      <c r="Q16" s="2"/>
      <c r="R16" t="s">
        <v>47</v>
      </c>
      <c r="S16" t="s">
        <v>102</v>
      </c>
      <c r="T16" s="2">
        <v>38177</v>
      </c>
      <c r="U16" t="s">
        <v>133</v>
      </c>
      <c r="V16" t="s">
        <v>39</v>
      </c>
      <c r="W16">
        <v>16</v>
      </c>
      <c r="X16" s="1">
        <v>85425</v>
      </c>
      <c r="Y16" s="1">
        <v>17085</v>
      </c>
      <c r="Z16" s="1">
        <v>68340</v>
      </c>
      <c r="AA16" s="3">
        <v>1066</v>
      </c>
      <c r="AK16" s="3"/>
      <c r="AO16" s="4"/>
      <c r="BA16" s="2"/>
      <c r="BB16" s="2"/>
      <c r="BD16" s="4"/>
      <c r="BF16" s="4"/>
      <c r="BM16" s="2"/>
      <c r="BO16" s="4"/>
      <c r="BQ16" s="4"/>
      <c r="CI16" s="2"/>
      <c r="CJ16" s="2"/>
      <c r="CN16" s="2"/>
      <c r="CQ16" s="2"/>
      <c r="CV16" s="4"/>
      <c r="CX16" s="4"/>
      <c r="DB16" s="2"/>
      <c r="DC16" s="2"/>
      <c r="DE16" s="2"/>
      <c r="DF16" s="2"/>
      <c r="DV16" s="2"/>
      <c r="DW16" s="2"/>
      <c r="EC16" s="3"/>
      <c r="EF16" s="4"/>
      <c r="EH16" s="4"/>
      <c r="ER16" s="2"/>
      <c r="ES16" s="2"/>
      <c r="EV16" s="3"/>
      <c r="EX16" s="4"/>
      <c r="FQ16" s="4"/>
      <c r="FS16" s="4"/>
      <c r="GE16" s="2"/>
      <c r="GJ16" s="4"/>
      <c r="GL16" s="4"/>
      <c r="GR16" s="2"/>
      <c r="GT16" s="3"/>
      <c r="GV16" s="2"/>
      <c r="HB16" s="3"/>
      <c r="HP16" s="2"/>
      <c r="HS16" s="4"/>
      <c r="HU16" s="4"/>
      <c r="II16" s="4"/>
      <c r="IK16" s="4"/>
      <c r="IS16" s="2"/>
      <c r="IT16" s="2"/>
      <c r="IV16" s="2"/>
      <c r="IW16" s="4"/>
      <c r="IY16" s="4"/>
      <c r="JH16" s="2"/>
      <c r="JK16" s="4"/>
      <c r="JM16" s="4"/>
      <c r="JZ16" s="2"/>
      <c r="KD16" s="4"/>
      <c r="KF16" s="4"/>
      <c r="KJ16" s="4"/>
      <c r="KT16" s="2"/>
      <c r="KU16" s="2"/>
      <c r="KW16" s="2"/>
      <c r="LC16" s="2"/>
      <c r="LF16" s="2"/>
      <c r="LK16" s="2"/>
      <c r="LT16" s="4"/>
      <c r="LV16" s="4"/>
      <c r="MN16" s="5"/>
      <c r="NB16" s="2"/>
      <c r="NC16" s="2"/>
      <c r="NJ16" s="2"/>
      <c r="NO16" s="2"/>
      <c r="NT16" s="4"/>
      <c r="NV16" s="4"/>
      <c r="OA16" s="2"/>
      <c r="OB16" s="2"/>
      <c r="ON16" s="2"/>
      <c r="OR16" s="4"/>
      <c r="OT16" s="4"/>
      <c r="PD16" s="2"/>
      <c r="PH16" s="2"/>
      <c r="PQ16" s="2"/>
      <c r="PX16" s="2"/>
      <c r="PZ16" s="2"/>
      <c r="QF16" s="4"/>
      <c r="QH16" s="4"/>
      <c r="QX16" s="3"/>
      <c r="QZ16" s="2"/>
      <c r="RA16" s="2"/>
      <c r="RN16" s="4"/>
      <c r="RO16" s="4"/>
      <c r="RR16" s="2"/>
      <c r="RT16" s="2"/>
      <c r="RU16" s="2"/>
      <c r="SC16" s="4"/>
      <c r="SN16" s="2"/>
      <c r="SQ16" s="4"/>
      <c r="SS16" s="4"/>
      <c r="TG16" s="2"/>
      <c r="TH16" s="2"/>
      <c r="TI16" s="2"/>
      <c r="TU16" s="4"/>
      <c r="TW16" s="4"/>
    </row>
    <row r="17" spans="1:543">
      <c r="A17">
        <v>3651</v>
      </c>
      <c r="B17">
        <v>2692</v>
      </c>
      <c r="C17">
        <v>6560614289</v>
      </c>
      <c r="D17" t="s">
        <v>134</v>
      </c>
      <c r="E17" t="s">
        <v>135</v>
      </c>
      <c r="F17" t="s">
        <v>136</v>
      </c>
      <c r="G17" s="2">
        <v>22432</v>
      </c>
      <c r="H17" t="s">
        <v>43</v>
      </c>
      <c r="I17" t="s">
        <v>137</v>
      </c>
      <c r="J17" t="s">
        <v>61</v>
      </c>
      <c r="K17" t="s">
        <v>138</v>
      </c>
      <c r="L17" t="s">
        <v>34</v>
      </c>
      <c r="M17" s="2">
        <v>32845</v>
      </c>
      <c r="N17" t="s">
        <v>139</v>
      </c>
      <c r="O17" s="2">
        <f>DATE(YEAR(G17) + P17, MONTH(G17), DAY(G17))</f>
        <v>47634</v>
      </c>
      <c r="P17">
        <v>69</v>
      </c>
      <c r="Q17" s="2"/>
      <c r="R17" t="s">
        <v>47</v>
      </c>
      <c r="S17" t="s">
        <v>102</v>
      </c>
      <c r="T17" s="2">
        <v>44104</v>
      </c>
      <c r="U17" t="s">
        <v>49</v>
      </c>
      <c r="V17" t="s">
        <v>39</v>
      </c>
      <c r="W17">
        <v>25</v>
      </c>
      <c r="X17" s="1">
        <v>78623</v>
      </c>
      <c r="Y17" s="1">
        <v>15724.6</v>
      </c>
      <c r="Z17" s="1">
        <v>62898.400000000001</v>
      </c>
      <c r="AA17" s="3">
        <v>1988</v>
      </c>
      <c r="AK17" s="3"/>
      <c r="AM17" s="4"/>
      <c r="BA17" s="2"/>
      <c r="BB17" s="2"/>
      <c r="BD17" s="4"/>
      <c r="BF17" s="4"/>
      <c r="BM17" s="2"/>
      <c r="BO17" s="4"/>
      <c r="BQ17" s="4"/>
      <c r="CI17" s="2"/>
      <c r="CJ17" s="2"/>
      <c r="CN17" s="2"/>
      <c r="CQ17" s="2"/>
      <c r="CV17" s="4"/>
      <c r="CX17" s="4"/>
      <c r="DB17" s="2"/>
      <c r="DC17" s="2"/>
      <c r="DE17" s="2"/>
      <c r="DF17" s="2"/>
      <c r="DV17" s="2"/>
      <c r="DW17" s="2"/>
      <c r="EF17" s="4"/>
      <c r="EH17" s="4"/>
      <c r="ER17" s="2"/>
      <c r="ES17" s="2"/>
      <c r="EX17" s="4"/>
      <c r="EZ17" s="4"/>
      <c r="FQ17" s="4"/>
      <c r="FS17" s="4"/>
      <c r="GD17" s="3"/>
      <c r="GE17" s="2"/>
      <c r="GL17" s="4"/>
      <c r="GR17" s="2"/>
      <c r="GT17" s="3"/>
      <c r="GV17" s="2"/>
      <c r="GW17" s="3"/>
      <c r="HB17" s="3"/>
      <c r="HP17" s="2"/>
      <c r="HS17" s="4"/>
      <c r="HU17" s="4"/>
      <c r="II17" s="4"/>
      <c r="IK17" s="4"/>
      <c r="IS17" s="2"/>
      <c r="IT17" s="2"/>
      <c r="IV17" s="2"/>
      <c r="IW17" s="4"/>
      <c r="IY17" s="4"/>
      <c r="JK17" s="4"/>
      <c r="JM17" s="4"/>
      <c r="JZ17" s="2"/>
      <c r="KA17" s="3"/>
      <c r="KD17" s="4"/>
      <c r="KF17" s="4"/>
      <c r="KJ17" s="4"/>
      <c r="KT17" s="2"/>
      <c r="KU17" s="2"/>
      <c r="KW17" s="2"/>
      <c r="LC17" s="2"/>
      <c r="LF17" s="2"/>
      <c r="LK17" s="2"/>
      <c r="LT17" s="4"/>
      <c r="NB17" s="2"/>
      <c r="NC17" s="2"/>
      <c r="NJ17" s="2"/>
      <c r="NN17" s="2"/>
      <c r="NO17" s="2"/>
      <c r="NT17" s="4"/>
      <c r="NV17" s="4"/>
      <c r="OA17" s="2"/>
      <c r="OB17" s="2"/>
      <c r="ON17" s="2"/>
      <c r="OR17" s="4"/>
      <c r="OT17" s="4"/>
      <c r="PD17" s="2"/>
      <c r="PH17" s="2"/>
      <c r="PZ17" s="2"/>
      <c r="QF17" s="4"/>
      <c r="QH17" s="4"/>
      <c r="QZ17" s="2"/>
      <c r="RA17" s="2"/>
      <c r="RN17" s="4"/>
      <c r="RO17" s="4"/>
      <c r="RR17" s="2"/>
      <c r="RT17" s="2"/>
      <c r="SA17" s="4"/>
      <c r="SC17" s="4"/>
      <c r="SN17" s="2"/>
      <c r="SQ17" s="4"/>
      <c r="SS17" s="4"/>
      <c r="TG17" s="2"/>
      <c r="TH17" s="2"/>
      <c r="TI17" s="2"/>
      <c r="TU17" s="4"/>
      <c r="TW17" s="4"/>
    </row>
    <row r="18" spans="1:543">
      <c r="A18">
        <v>1353</v>
      </c>
      <c r="B18">
        <v>3965</v>
      </c>
      <c r="C18" s="3" t="s">
        <v>140</v>
      </c>
      <c r="D18" t="s">
        <v>67</v>
      </c>
      <c r="E18" t="s">
        <v>141</v>
      </c>
      <c r="F18" t="s">
        <v>142</v>
      </c>
      <c r="G18" s="2">
        <v>40424</v>
      </c>
      <c r="H18" t="s">
        <v>30</v>
      </c>
      <c r="I18" t="s">
        <v>143</v>
      </c>
      <c r="J18" t="s">
        <v>61</v>
      </c>
      <c r="K18" t="s">
        <v>144</v>
      </c>
      <c r="L18" t="s">
        <v>34</v>
      </c>
      <c r="M18" s="2">
        <v>45832</v>
      </c>
      <c r="N18" t="s">
        <v>145</v>
      </c>
      <c r="O18" s="2">
        <f>DATE(YEAR(G18) + P18, MONTH(G18), DAY(G18))</f>
        <v>62704</v>
      </c>
      <c r="P18">
        <v>61</v>
      </c>
      <c r="Q18" s="2"/>
      <c r="R18" t="s">
        <v>47</v>
      </c>
      <c r="S18" t="s">
        <v>37</v>
      </c>
      <c r="T18" s="2">
        <v>39551</v>
      </c>
      <c r="U18" t="s">
        <v>133</v>
      </c>
      <c r="V18" t="s">
        <v>66</v>
      </c>
      <c r="W18">
        <v>2</v>
      </c>
      <c r="X18" s="1">
        <v>93942</v>
      </c>
      <c r="Y18" s="1">
        <v>18788.400000000001</v>
      </c>
      <c r="Z18" s="1">
        <v>75153.600000000006</v>
      </c>
      <c r="AA18" s="3">
        <v>1640</v>
      </c>
      <c r="AK18" s="3"/>
      <c r="AM18" s="4"/>
      <c r="AO18" s="4"/>
      <c r="BA18" s="2"/>
      <c r="BB18" s="2"/>
      <c r="BD18" s="4"/>
      <c r="BM18" s="2"/>
      <c r="BO18" s="4"/>
      <c r="BQ18" s="4"/>
      <c r="CI18" s="2"/>
      <c r="CJ18" s="2"/>
      <c r="CN18" s="2"/>
      <c r="CQ18" s="2"/>
      <c r="CV18" s="4"/>
      <c r="CX18" s="4"/>
      <c r="DB18" s="2"/>
      <c r="DC18" s="2"/>
      <c r="DE18" s="2"/>
      <c r="DF18" s="2"/>
      <c r="DV18" s="2"/>
      <c r="DW18" s="2"/>
      <c r="EF18" s="4"/>
      <c r="EH18" s="4"/>
      <c r="ER18" s="2"/>
      <c r="ES18" s="2"/>
      <c r="EX18" s="4"/>
      <c r="EZ18" s="4"/>
      <c r="FS18" s="4"/>
      <c r="GE18" s="2"/>
      <c r="GJ18" s="4"/>
      <c r="GR18" s="2"/>
      <c r="GS18" s="3"/>
      <c r="GU18" s="3"/>
      <c r="GV18" s="2"/>
      <c r="GX18" s="3"/>
      <c r="GY18" s="3"/>
      <c r="HB18" s="3"/>
      <c r="HP18" s="2"/>
      <c r="HS18" s="4"/>
      <c r="HU18" s="4"/>
      <c r="II18" s="4"/>
      <c r="IK18" s="4"/>
      <c r="IS18" s="2"/>
      <c r="IT18" s="2"/>
      <c r="IV18" s="2"/>
      <c r="IW18" s="4"/>
      <c r="JH18" s="2"/>
      <c r="JK18" s="4"/>
      <c r="JZ18" s="2"/>
      <c r="KC18" s="3"/>
      <c r="KD18" s="4"/>
      <c r="KJ18" s="4"/>
      <c r="KT18" s="2"/>
      <c r="KU18" s="2"/>
      <c r="KW18" s="2"/>
      <c r="LF18" s="2"/>
      <c r="LK18" s="2"/>
      <c r="LT18" s="4"/>
      <c r="LV18" s="4"/>
      <c r="MC18" s="3"/>
      <c r="ML18" s="3"/>
      <c r="NB18" s="2"/>
      <c r="NC18" s="2"/>
      <c r="NJ18" s="2"/>
      <c r="NM18" s="3"/>
      <c r="NN18" s="2"/>
      <c r="NT18" s="4"/>
      <c r="OB18" s="2"/>
      <c r="ON18" s="2"/>
      <c r="OR18" s="4"/>
      <c r="OT18" s="4"/>
      <c r="PD18" s="2"/>
      <c r="PG18" s="3"/>
      <c r="PH18" s="2"/>
      <c r="PX18" s="2"/>
      <c r="PZ18" s="2"/>
      <c r="QF18" s="4"/>
      <c r="QH18" s="4"/>
      <c r="QZ18" s="2"/>
      <c r="RA18" s="2"/>
      <c r="RN18" s="4"/>
      <c r="RO18" s="4"/>
      <c r="RR18" s="2"/>
      <c r="RT18" s="2"/>
      <c r="RU18" s="2"/>
      <c r="SA18" s="4"/>
      <c r="SC18" s="4"/>
      <c r="SN18" s="2"/>
      <c r="SQ18" s="4"/>
      <c r="SS18" s="4"/>
      <c r="TG18" s="2"/>
      <c r="TH18" s="2"/>
      <c r="TI18" s="2"/>
      <c r="TO18" s="3"/>
      <c r="TU18" s="4"/>
      <c r="TW18" s="4"/>
    </row>
    <row r="19" spans="1:543">
      <c r="A19">
        <v>3690</v>
      </c>
      <c r="B19">
        <v>9797</v>
      </c>
      <c r="C19">
        <v>9029350526</v>
      </c>
      <c r="D19" t="s">
        <v>50</v>
      </c>
      <c r="E19" t="s">
        <v>146</v>
      </c>
      <c r="F19" t="s">
        <v>147</v>
      </c>
      <c r="G19" s="2">
        <v>32835</v>
      </c>
      <c r="H19" t="s">
        <v>43</v>
      </c>
      <c r="I19" t="s">
        <v>148</v>
      </c>
      <c r="J19" t="s">
        <v>61</v>
      </c>
      <c r="K19" t="s">
        <v>149</v>
      </c>
      <c r="L19" t="s">
        <v>95</v>
      </c>
      <c r="M19" s="2">
        <v>38655</v>
      </c>
      <c r="N19" t="s">
        <v>150</v>
      </c>
      <c r="O19" s="2">
        <f>DATE(YEAR(G19) + P19, MONTH(G19), DAY(G19))</f>
        <v>58037</v>
      </c>
      <c r="P19">
        <v>69</v>
      </c>
      <c r="Q19" s="2"/>
      <c r="R19" t="s">
        <v>47</v>
      </c>
      <c r="S19" t="s">
        <v>102</v>
      </c>
      <c r="T19" t="s">
        <v>151</v>
      </c>
      <c r="U19" t="s">
        <v>49</v>
      </c>
      <c r="V19" t="s">
        <v>38</v>
      </c>
      <c r="W19">
        <v>18</v>
      </c>
      <c r="X19" s="1">
        <v>96601</v>
      </c>
      <c r="Y19" s="1">
        <v>19320.2</v>
      </c>
      <c r="Z19" s="1">
        <v>77280.800000000003</v>
      </c>
      <c r="AA19" s="3">
        <v>916</v>
      </c>
      <c r="AK19" s="3"/>
      <c r="AM19" s="4"/>
      <c r="AO19" s="4"/>
      <c r="BA19" s="2"/>
      <c r="BB19" s="2"/>
      <c r="BD19" s="4"/>
      <c r="BM19" s="2"/>
      <c r="BO19" s="4"/>
      <c r="BQ19" s="4"/>
      <c r="CJ19" s="2"/>
      <c r="CK19" s="3"/>
      <c r="CN19" s="2"/>
      <c r="CQ19" s="2"/>
      <c r="CV19" s="4"/>
      <c r="CX19" s="4"/>
      <c r="DB19" s="2"/>
      <c r="DC19" s="2"/>
      <c r="DE19" s="2"/>
      <c r="DF19" s="2"/>
      <c r="DV19" s="2"/>
      <c r="DW19" s="2"/>
      <c r="EC19" s="3"/>
      <c r="EH19" s="4"/>
      <c r="ER19" s="2"/>
      <c r="ES19" s="2"/>
      <c r="EU19" s="3"/>
      <c r="EZ19" s="4"/>
      <c r="FQ19" s="4"/>
      <c r="FS19" s="4"/>
      <c r="GE19" s="2"/>
      <c r="GJ19" s="4"/>
      <c r="GL19" s="4"/>
      <c r="GT19" s="3"/>
      <c r="GU19" s="3"/>
      <c r="GV19" s="2"/>
      <c r="GX19" s="3"/>
      <c r="GY19" s="3"/>
      <c r="HB19" s="3"/>
      <c r="HS19" s="4"/>
      <c r="HU19" s="4"/>
      <c r="II19" s="4"/>
      <c r="IK19" s="4"/>
      <c r="IS19" s="2"/>
      <c r="IT19" s="2"/>
      <c r="IV19" s="2"/>
      <c r="IW19" s="4"/>
      <c r="IY19" s="4"/>
      <c r="JH19" s="2"/>
      <c r="JK19" s="4"/>
      <c r="JM19" s="4"/>
      <c r="KD19" s="4"/>
      <c r="KF19" s="4"/>
      <c r="KJ19" s="4"/>
      <c r="KT19" s="2"/>
      <c r="KU19" s="2"/>
      <c r="KW19" s="2"/>
      <c r="LC19" s="2"/>
      <c r="LF19" s="2"/>
      <c r="LK19" s="2"/>
      <c r="LT19" s="4"/>
      <c r="LV19" s="4"/>
      <c r="ME19" s="3"/>
      <c r="NB19" s="2"/>
      <c r="NC19" s="2"/>
      <c r="NJ19" s="2"/>
      <c r="NN19" s="2"/>
      <c r="NO19" s="2"/>
      <c r="NT19" s="4"/>
      <c r="NV19" s="4"/>
      <c r="OA19" s="2"/>
      <c r="OB19" s="2"/>
      <c r="OR19" s="4"/>
      <c r="OT19" s="4"/>
      <c r="PD19" s="2"/>
      <c r="PH19" s="2"/>
      <c r="PQ19" s="2"/>
      <c r="PX19" s="2"/>
      <c r="PZ19" s="2"/>
      <c r="QF19" s="4"/>
      <c r="QH19" s="4"/>
      <c r="QZ19" s="2"/>
      <c r="RA19" s="2"/>
      <c r="RN19" s="4"/>
      <c r="RO19" s="4"/>
      <c r="RR19" s="2"/>
      <c r="RT19" s="2"/>
      <c r="RU19" s="2"/>
      <c r="SA19" s="4"/>
      <c r="SC19" s="4"/>
      <c r="SM19" s="3"/>
      <c r="SN19" s="2"/>
      <c r="SQ19" s="4"/>
      <c r="SS19" s="4"/>
      <c r="TG19" s="2"/>
      <c r="TH19" s="2"/>
      <c r="TI19" s="2"/>
      <c r="TU19" s="4"/>
      <c r="TW19" s="4"/>
    </row>
    <row r="20" spans="1:543">
      <c r="A20">
        <v>7955</v>
      </c>
      <c r="B20">
        <v>204</v>
      </c>
      <c r="C20">
        <v>6015044884</v>
      </c>
      <c r="D20" t="s">
        <v>110</v>
      </c>
      <c r="E20" t="s">
        <v>152</v>
      </c>
      <c r="F20" t="s">
        <v>153</v>
      </c>
      <c r="G20" s="2">
        <v>40444</v>
      </c>
      <c r="H20" t="s">
        <v>30</v>
      </c>
      <c r="I20" t="s">
        <v>44</v>
      </c>
      <c r="J20" t="s">
        <v>32</v>
      </c>
      <c r="K20" t="s">
        <v>154</v>
      </c>
      <c r="L20" t="s">
        <v>77</v>
      </c>
      <c r="M20" s="2"/>
      <c r="N20" t="s">
        <v>155</v>
      </c>
      <c r="O20" s="2">
        <f>DATE(YEAR(G20) + P20, MONTH(G20), DAY(G20))</f>
        <v>63820</v>
      </c>
      <c r="P20">
        <v>64</v>
      </c>
      <c r="Q20" s="2"/>
      <c r="R20" t="s">
        <v>47</v>
      </c>
      <c r="S20" t="s">
        <v>64</v>
      </c>
      <c r="T20" s="2">
        <v>43957</v>
      </c>
      <c r="U20" t="s">
        <v>65</v>
      </c>
      <c r="V20" t="s">
        <v>39</v>
      </c>
      <c r="W20">
        <v>8</v>
      </c>
      <c r="X20" s="1">
        <v>15850</v>
      </c>
      <c r="Y20" s="1">
        <v>3170</v>
      </c>
      <c r="Z20" s="1">
        <v>12680</v>
      </c>
      <c r="AA20" s="3">
        <v>624</v>
      </c>
      <c r="AK20" s="3"/>
      <c r="AM20" s="4"/>
      <c r="AO20" s="4"/>
      <c r="BA20" s="2"/>
      <c r="BB20" s="2"/>
      <c r="BD20" s="4"/>
      <c r="BF20" s="4"/>
      <c r="BM20" s="2"/>
      <c r="BO20" s="4"/>
      <c r="BQ20" s="4"/>
      <c r="CI20" s="2"/>
      <c r="CJ20" s="2"/>
      <c r="CN20" s="2"/>
      <c r="CQ20" s="2"/>
      <c r="CV20" s="4"/>
      <c r="DB20" s="2"/>
      <c r="DC20" s="2"/>
      <c r="DE20" s="2"/>
      <c r="DF20" s="2"/>
      <c r="DV20" s="2"/>
      <c r="DW20" s="2"/>
      <c r="EF20" s="4"/>
      <c r="EH20" s="4"/>
      <c r="ER20" s="2"/>
      <c r="ES20" s="2"/>
      <c r="EX20" s="4"/>
      <c r="EZ20" s="4"/>
      <c r="FQ20" s="4"/>
      <c r="FS20" s="4"/>
      <c r="GE20" s="2"/>
      <c r="GJ20" s="4"/>
      <c r="GL20" s="4"/>
      <c r="GR20" s="2"/>
      <c r="GU20" s="3"/>
      <c r="GV20" s="2"/>
      <c r="GY20" s="3"/>
      <c r="HP20" s="2"/>
      <c r="HS20" s="4"/>
      <c r="HU20" s="4"/>
      <c r="IF20" s="3"/>
      <c r="II20" s="4"/>
      <c r="IK20" s="4"/>
      <c r="IS20" s="2"/>
      <c r="IT20" s="2"/>
      <c r="IV20" s="2"/>
      <c r="IW20" s="4"/>
      <c r="IY20" s="4"/>
      <c r="JH20" s="2"/>
      <c r="JK20" s="4"/>
      <c r="JM20" s="4"/>
      <c r="JZ20" s="2"/>
      <c r="KD20" s="4"/>
      <c r="KF20" s="4"/>
      <c r="KJ20" s="4"/>
      <c r="KT20" s="2"/>
      <c r="KU20" s="2"/>
      <c r="KW20" s="2"/>
      <c r="LC20" s="2"/>
      <c r="LF20" s="2"/>
      <c r="LK20" s="2"/>
      <c r="LM20" s="3"/>
      <c r="LT20" s="4"/>
      <c r="LV20" s="4"/>
      <c r="NB20" s="2"/>
      <c r="NH20" s="3"/>
      <c r="NJ20" s="2"/>
      <c r="NN20" s="2"/>
      <c r="NO20" s="2"/>
      <c r="NT20" s="4"/>
      <c r="NV20" s="4"/>
      <c r="OA20" s="2"/>
      <c r="OB20" s="2"/>
      <c r="ON20" s="2"/>
      <c r="OR20" s="4"/>
      <c r="OT20" s="4"/>
      <c r="PD20" s="2"/>
      <c r="PH20" s="2"/>
      <c r="PQ20" s="2"/>
      <c r="PX20" s="2"/>
      <c r="PZ20" s="2"/>
      <c r="QF20" s="4"/>
      <c r="QH20" s="4"/>
      <c r="QZ20" s="2"/>
      <c r="RA20" s="2"/>
      <c r="RN20" s="4"/>
      <c r="RO20" s="4"/>
      <c r="RR20" s="2"/>
      <c r="RT20" s="2"/>
      <c r="RU20" s="2"/>
      <c r="SA20" s="4"/>
      <c r="SC20" s="4"/>
      <c r="SN20" s="2"/>
      <c r="SQ20" s="4"/>
      <c r="SS20" s="4"/>
      <c r="TG20" s="2"/>
      <c r="TH20" s="2"/>
      <c r="TI20" s="2"/>
      <c r="TU20" s="4"/>
      <c r="TW20" s="4"/>
    </row>
    <row r="21" spans="1:543">
      <c r="A21">
        <v>6033</v>
      </c>
      <c r="B21">
        <v>1442</v>
      </c>
      <c r="C21">
        <v>8393397444</v>
      </c>
      <c r="D21" t="s">
        <v>156</v>
      </c>
      <c r="E21" t="s">
        <v>157</v>
      </c>
      <c r="F21" t="s">
        <v>158</v>
      </c>
      <c r="G21" s="2">
        <v>40398</v>
      </c>
      <c r="H21" t="s">
        <v>30</v>
      </c>
      <c r="I21" t="s">
        <v>148</v>
      </c>
      <c r="J21" t="s">
        <v>32</v>
      </c>
      <c r="K21" t="s">
        <v>159</v>
      </c>
      <c r="L21" t="s">
        <v>77</v>
      </c>
      <c r="M21" s="2"/>
      <c r="N21" t="s">
        <v>160</v>
      </c>
      <c r="O21" s="2">
        <f>DATE(YEAR(G21) + P21, MONTH(G21), DAY(G21))</f>
        <v>62313</v>
      </c>
      <c r="P21">
        <v>60</v>
      </c>
      <c r="Q21" s="2"/>
      <c r="R21" t="s">
        <v>47</v>
      </c>
      <c r="S21" t="s">
        <v>109</v>
      </c>
      <c r="T21" s="2">
        <v>26990</v>
      </c>
      <c r="U21" t="s">
        <v>38</v>
      </c>
      <c r="V21" t="s">
        <v>38</v>
      </c>
      <c r="W21">
        <v>4</v>
      </c>
      <c r="X21" s="1">
        <v>83448</v>
      </c>
      <c r="Y21" s="1">
        <v>16689.600000000002</v>
      </c>
      <c r="Z21" s="1">
        <v>66758.399999999994</v>
      </c>
      <c r="AA21" s="3">
        <v>110</v>
      </c>
      <c r="AK21" s="3"/>
      <c r="AM21" s="4"/>
      <c r="AO21" s="4"/>
      <c r="BA21" s="2"/>
      <c r="BB21" s="2"/>
      <c r="BD21" s="4"/>
      <c r="BF21" s="4"/>
      <c r="BM21" s="2"/>
      <c r="BO21" s="4"/>
      <c r="CG21" s="3"/>
      <c r="CI21" s="2"/>
      <c r="CJ21" s="2"/>
      <c r="CN21" s="2"/>
      <c r="CQ21" s="2"/>
      <c r="CV21" s="4"/>
      <c r="CX21" s="4"/>
      <c r="DB21" s="2"/>
      <c r="DC21" s="2"/>
      <c r="DE21" s="2"/>
      <c r="DF21" s="2"/>
      <c r="DV21" s="2"/>
      <c r="EF21" s="4"/>
      <c r="EH21" s="4"/>
      <c r="ER21" s="2"/>
      <c r="EX21" s="4"/>
      <c r="EZ21" s="4"/>
      <c r="FQ21" s="4"/>
      <c r="FS21" s="4"/>
      <c r="GJ21" s="4"/>
      <c r="GL21" s="4"/>
      <c r="GR21" s="2"/>
      <c r="GU21" s="3"/>
      <c r="GW21" s="3"/>
      <c r="GX21" s="3"/>
      <c r="GY21" s="3"/>
      <c r="HB21" s="3"/>
      <c r="HP21" s="2"/>
      <c r="HS21" s="4"/>
      <c r="HU21" s="4"/>
      <c r="II21" s="4"/>
      <c r="IK21" s="4"/>
      <c r="IS21" s="2"/>
      <c r="IT21" s="2"/>
      <c r="IV21" s="2"/>
      <c r="IW21" s="4"/>
      <c r="IY21" s="4"/>
      <c r="JH21" s="2"/>
      <c r="JK21" s="4"/>
      <c r="JM21" s="4"/>
      <c r="KD21" s="4"/>
      <c r="KF21" s="4"/>
      <c r="KJ21" s="4"/>
      <c r="KT21" s="2"/>
      <c r="KU21" s="2"/>
      <c r="KW21" s="2"/>
      <c r="LC21" s="2"/>
      <c r="LF21" s="2"/>
      <c r="LK21" s="2"/>
      <c r="LT21" s="4"/>
      <c r="LV21" s="4"/>
      <c r="NB21" s="2"/>
      <c r="NC21" s="2"/>
      <c r="NG21" s="5"/>
      <c r="NJ21" s="2"/>
      <c r="NO21" s="2"/>
      <c r="NT21" s="4"/>
      <c r="NV21" s="4"/>
      <c r="OA21" s="2"/>
      <c r="OB21" s="2"/>
      <c r="OR21" s="4"/>
      <c r="OT21" s="4"/>
      <c r="PH21" s="2"/>
      <c r="PQ21" s="2"/>
      <c r="PX21" s="2"/>
      <c r="PZ21" s="2"/>
      <c r="QF21" s="4"/>
      <c r="QH21" s="4"/>
      <c r="QZ21" s="2"/>
      <c r="RA21" s="2"/>
      <c r="RN21" s="4"/>
      <c r="RR21" s="2"/>
      <c r="RT21" s="2"/>
      <c r="RU21" s="2"/>
      <c r="SA21" s="4"/>
      <c r="SC21" s="4"/>
      <c r="SN21" s="2"/>
      <c r="SQ21" s="4"/>
      <c r="SS21" s="4"/>
      <c r="TG21" s="2"/>
      <c r="TH21" s="2"/>
      <c r="TU21" s="4"/>
      <c r="TW21" s="4"/>
    </row>
    <row r="22" spans="1:543">
      <c r="A22">
        <v>8138</v>
      </c>
      <c r="B22">
        <v>4809</v>
      </c>
      <c r="C22">
        <v>5415859917</v>
      </c>
      <c r="D22" t="s">
        <v>161</v>
      </c>
      <c r="E22" t="s">
        <v>162</v>
      </c>
      <c r="F22" t="s">
        <v>163</v>
      </c>
      <c r="G22" s="2">
        <v>37301</v>
      </c>
      <c r="H22" t="s">
        <v>30</v>
      </c>
      <c r="I22" t="s">
        <v>87</v>
      </c>
      <c r="J22" t="s">
        <v>32</v>
      </c>
      <c r="K22" t="s">
        <v>164</v>
      </c>
      <c r="L22" t="s">
        <v>95</v>
      </c>
      <c r="M22" s="2"/>
      <c r="N22" t="s">
        <v>165</v>
      </c>
      <c r="O22" s="2">
        <f>DATE(YEAR(G22) + P22, MONTH(G22), DAY(G22))</f>
        <v>59216</v>
      </c>
      <c r="P22">
        <v>60</v>
      </c>
      <c r="Q22" s="2"/>
      <c r="R22" t="s">
        <v>47</v>
      </c>
      <c r="S22" t="s">
        <v>102</v>
      </c>
      <c r="T22" s="2">
        <v>42855</v>
      </c>
      <c r="U22" t="s">
        <v>103</v>
      </c>
      <c r="V22" t="s">
        <v>66</v>
      </c>
      <c r="W22">
        <v>3</v>
      </c>
      <c r="X22" s="1">
        <v>4049</v>
      </c>
      <c r="Y22" s="1">
        <v>809.80000000000007</v>
      </c>
      <c r="Z22" s="1">
        <v>3239.2</v>
      </c>
      <c r="AA22" s="3">
        <v>152</v>
      </c>
      <c r="AJ22" s="3"/>
      <c r="AK22" s="3"/>
      <c r="AM22" s="4"/>
      <c r="AO22" s="4"/>
      <c r="BA22" s="2"/>
      <c r="BB22" s="2"/>
      <c r="BD22" s="4"/>
      <c r="BF22" s="4"/>
      <c r="BM22" s="2"/>
      <c r="BO22" s="4"/>
      <c r="BQ22" s="4"/>
      <c r="CJ22" s="2"/>
      <c r="CN22" s="2"/>
      <c r="CP22" s="3"/>
      <c r="CQ22" s="2"/>
      <c r="CV22" s="4"/>
      <c r="CX22" s="4"/>
      <c r="DB22" s="2"/>
      <c r="DC22" s="2"/>
      <c r="DE22" s="2"/>
      <c r="DF22" s="2"/>
      <c r="DV22" s="2"/>
      <c r="EF22" s="4"/>
      <c r="EH22" s="4"/>
      <c r="ER22" s="2"/>
      <c r="ES22" s="2"/>
      <c r="EZ22" s="4"/>
      <c r="FS22" s="4"/>
      <c r="GE22" s="2"/>
      <c r="GL22" s="4"/>
      <c r="GR22" s="2"/>
      <c r="GS22" s="3"/>
      <c r="GT22" s="3"/>
      <c r="GV22" s="2"/>
      <c r="GW22" s="3"/>
      <c r="HB22" s="3"/>
      <c r="HP22" s="2"/>
      <c r="HS22" s="4"/>
      <c r="II22" s="4"/>
      <c r="IK22" s="4"/>
      <c r="IS22" s="2"/>
      <c r="IT22" s="2"/>
      <c r="IV22" s="2"/>
      <c r="IW22" s="4"/>
      <c r="IY22" s="4"/>
      <c r="JH22" s="2"/>
      <c r="JK22" s="4"/>
      <c r="JM22" s="4"/>
      <c r="JZ22" s="2"/>
      <c r="KD22" s="4"/>
      <c r="KF22" s="4"/>
      <c r="KI22" s="3"/>
      <c r="KJ22" s="4"/>
      <c r="KT22" s="2"/>
      <c r="KU22" s="2"/>
      <c r="KW22" s="2"/>
      <c r="LC22" s="2"/>
      <c r="LF22" s="2"/>
      <c r="LK22" s="2"/>
      <c r="LT22" s="4"/>
      <c r="LV22" s="4"/>
      <c r="NB22" s="2"/>
      <c r="NC22" s="2"/>
      <c r="NJ22" s="2"/>
      <c r="NM22" s="3"/>
      <c r="NN22" s="2"/>
      <c r="NO22" s="2"/>
      <c r="NT22" s="4"/>
      <c r="NV22" s="4"/>
      <c r="OA22" s="2"/>
      <c r="OB22" s="2"/>
      <c r="ON22" s="2"/>
      <c r="OR22" s="4"/>
      <c r="OT22" s="4"/>
      <c r="PD22" s="2"/>
      <c r="PH22" s="2"/>
      <c r="PQ22" s="2"/>
      <c r="PX22" s="2"/>
      <c r="PZ22" s="2"/>
      <c r="QF22" s="4"/>
      <c r="QH22" s="4"/>
      <c r="QZ22" s="2"/>
      <c r="RA22" s="2"/>
      <c r="RN22" s="4"/>
      <c r="RO22" s="4"/>
      <c r="RR22" s="2"/>
      <c r="RT22" s="2"/>
      <c r="RU22" s="2"/>
      <c r="SA22" s="4"/>
      <c r="SC22" s="4"/>
      <c r="SN22" s="2"/>
      <c r="SQ22" s="4"/>
      <c r="SS22" s="4"/>
      <c r="TG22" s="2"/>
      <c r="TH22" s="2"/>
      <c r="TI22" s="2"/>
      <c r="TU22" s="4"/>
      <c r="TW22" s="4"/>
    </row>
    <row r="23" spans="1:543">
      <c r="A23">
        <v>8813</v>
      </c>
      <c r="B23">
        <v>7446</v>
      </c>
      <c r="C23">
        <v>1549660992</v>
      </c>
      <c r="D23" t="s">
        <v>166</v>
      </c>
      <c r="E23" t="s">
        <v>167</v>
      </c>
      <c r="F23" t="s">
        <v>168</v>
      </c>
      <c r="G23" s="2">
        <v>46333</v>
      </c>
      <c r="H23" t="s">
        <v>43</v>
      </c>
      <c r="I23" t="s">
        <v>169</v>
      </c>
      <c r="J23" t="s">
        <v>32</v>
      </c>
      <c r="K23" t="s">
        <v>170</v>
      </c>
      <c r="L23" t="s">
        <v>95</v>
      </c>
      <c r="M23" s="2"/>
      <c r="N23" t="s">
        <v>171</v>
      </c>
      <c r="O23" s="2">
        <f>DATE(YEAR(G23) + P23, MONTH(G23), DAY(G23))</f>
        <v>71535</v>
      </c>
      <c r="P23">
        <v>69</v>
      </c>
      <c r="Q23" s="2"/>
      <c r="R23" t="s">
        <v>47</v>
      </c>
      <c r="S23" t="s">
        <v>64</v>
      </c>
      <c r="T23" s="2">
        <v>45988</v>
      </c>
      <c r="U23" t="s">
        <v>49</v>
      </c>
      <c r="V23" t="s">
        <v>66</v>
      </c>
      <c r="W23">
        <v>9</v>
      </c>
      <c r="X23" s="1">
        <v>96445</v>
      </c>
      <c r="Y23" s="1">
        <v>19289</v>
      </c>
      <c r="Z23" s="1">
        <v>77156</v>
      </c>
      <c r="AA23" s="3">
        <v>510</v>
      </c>
      <c r="AK23" s="3"/>
      <c r="AM23" s="4"/>
      <c r="AO23" s="4"/>
      <c r="BA23" s="2"/>
      <c r="BB23" s="2"/>
      <c r="BD23" s="4"/>
      <c r="BF23" s="4"/>
      <c r="BM23" s="2"/>
      <c r="BO23" s="4"/>
      <c r="BQ23" s="4"/>
      <c r="CI23" s="2"/>
      <c r="CJ23" s="2"/>
      <c r="CN23" s="2"/>
      <c r="CQ23" s="2"/>
      <c r="CV23" s="4"/>
      <c r="CX23" s="4"/>
      <c r="CZ23" s="3"/>
      <c r="DB23" s="2"/>
      <c r="DC23" s="2"/>
      <c r="DE23" s="2"/>
      <c r="DF23" s="2"/>
      <c r="DV23" s="2"/>
      <c r="DW23" s="2"/>
      <c r="DX23" s="3"/>
      <c r="DY23" s="3"/>
      <c r="EC23" s="2"/>
      <c r="EF23" s="4"/>
      <c r="EH23" s="4"/>
      <c r="ER23" s="2"/>
      <c r="ES23" s="2"/>
      <c r="EX23" s="4"/>
      <c r="EZ23" s="4"/>
      <c r="FQ23" s="4"/>
      <c r="GE23" s="2"/>
      <c r="GJ23" s="4"/>
      <c r="GL23" s="4"/>
      <c r="GR23" s="2"/>
      <c r="GS23" s="3"/>
      <c r="GT23" s="3"/>
      <c r="GV23" s="2"/>
      <c r="GX23" s="3"/>
      <c r="HB23" s="3"/>
      <c r="HP23" s="2"/>
      <c r="HS23" s="4"/>
      <c r="HU23" s="4"/>
      <c r="II23" s="4"/>
      <c r="IK23" s="4"/>
      <c r="IS23" s="2"/>
      <c r="IT23" s="2"/>
      <c r="IV23" s="2"/>
      <c r="IW23" s="4"/>
      <c r="IY23" s="4"/>
      <c r="JH23" s="2"/>
      <c r="JK23" s="4"/>
      <c r="JM23" s="4"/>
      <c r="JZ23" s="2"/>
      <c r="KD23" s="4"/>
      <c r="KF23" s="4"/>
      <c r="KJ23" s="4"/>
      <c r="KU23" s="2"/>
      <c r="KW23" s="2"/>
      <c r="LC23" s="2"/>
      <c r="LF23" s="2"/>
      <c r="LK23" s="2"/>
      <c r="LM23" s="3"/>
      <c r="LT23" s="4"/>
      <c r="LV23" s="4"/>
      <c r="LZ23" s="3"/>
      <c r="MC23" s="3"/>
      <c r="NB23" s="2"/>
      <c r="NC23" s="2"/>
      <c r="NJ23" s="2"/>
      <c r="NN23" s="2"/>
      <c r="NO23" s="2"/>
      <c r="NP23" s="3"/>
      <c r="NT23" s="4"/>
      <c r="NV23" s="4"/>
      <c r="OA23" s="2"/>
      <c r="OB23" s="2"/>
      <c r="OK23" s="3"/>
      <c r="OR23" s="4"/>
      <c r="OT23" s="4"/>
      <c r="PD23" s="2"/>
      <c r="PH23" s="2"/>
      <c r="PQ23" s="2"/>
      <c r="PX23" s="2"/>
      <c r="QF23" s="4"/>
      <c r="QH23" s="4"/>
      <c r="QZ23" s="2"/>
      <c r="RA23" s="2"/>
      <c r="RM23" s="3"/>
      <c r="RN23" s="4"/>
      <c r="RO23" s="4"/>
      <c r="RR23" s="2"/>
      <c r="RT23" s="2"/>
      <c r="RU23" s="2"/>
      <c r="SA23" s="4"/>
      <c r="SC23" s="4"/>
      <c r="SN23" s="2"/>
      <c r="SQ23" s="4"/>
      <c r="SS23" s="4"/>
      <c r="TG23" s="2"/>
      <c r="TH23" s="2"/>
      <c r="TU23" s="4"/>
    </row>
    <row r="24" spans="1:543">
      <c r="A24">
        <v>7977</v>
      </c>
      <c r="B24">
        <v>4330</v>
      </c>
      <c r="C24">
        <v>6568403489</v>
      </c>
      <c r="D24" t="s">
        <v>172</v>
      </c>
      <c r="E24" t="s">
        <v>173</v>
      </c>
      <c r="F24" t="s">
        <v>174</v>
      </c>
      <c r="G24" s="2">
        <v>27304</v>
      </c>
      <c r="H24" t="s">
        <v>30</v>
      </c>
      <c r="I24" t="s">
        <v>75</v>
      </c>
      <c r="J24" t="s">
        <v>32</v>
      </c>
      <c r="K24" t="s">
        <v>175</v>
      </c>
      <c r="L24" t="s">
        <v>77</v>
      </c>
      <c r="M24" s="2"/>
      <c r="N24" t="s">
        <v>176</v>
      </c>
      <c r="O24" s="2">
        <f>DATE(YEAR(G24) + P24, MONTH(G24), DAY(G24))</f>
        <v>49950</v>
      </c>
      <c r="P24">
        <v>62</v>
      </c>
      <c r="Q24" s="2"/>
      <c r="R24" t="s">
        <v>36</v>
      </c>
      <c r="S24" t="s">
        <v>64</v>
      </c>
      <c r="T24" s="2">
        <v>44742</v>
      </c>
      <c r="U24" t="s">
        <v>133</v>
      </c>
      <c r="V24" t="s">
        <v>38</v>
      </c>
      <c r="W24">
        <v>14</v>
      </c>
      <c r="X24" s="1">
        <v>1122</v>
      </c>
      <c r="Y24" s="1">
        <v>224.4</v>
      </c>
      <c r="Z24" s="1">
        <v>897.6</v>
      </c>
      <c r="AA24" s="3">
        <v>3056</v>
      </c>
      <c r="AK24" s="3"/>
      <c r="AM24" s="4"/>
      <c r="AO24" s="4"/>
      <c r="BB24" s="2"/>
      <c r="BD24" s="4"/>
      <c r="BF24" s="4"/>
      <c r="BM24" s="2"/>
      <c r="BO24" s="4"/>
      <c r="BQ24" s="4"/>
      <c r="CI24" s="2"/>
      <c r="CJ24" s="2"/>
      <c r="CN24" s="2"/>
      <c r="CQ24" s="2"/>
      <c r="CZ24" s="3"/>
      <c r="DB24" s="2"/>
      <c r="DC24" s="2"/>
      <c r="DE24" s="2"/>
      <c r="DF24" s="2"/>
      <c r="DW24" s="2"/>
      <c r="EF24" s="4"/>
      <c r="EH24" s="4"/>
      <c r="ER24" s="2"/>
      <c r="EU24" s="3"/>
      <c r="EX24" s="4"/>
      <c r="EZ24" s="4"/>
      <c r="FQ24" s="4"/>
      <c r="FS24" s="4"/>
      <c r="GE24" s="2"/>
      <c r="GJ24" s="4"/>
      <c r="GL24" s="4"/>
      <c r="GR24" s="2"/>
      <c r="GS24" s="3"/>
      <c r="GU24" s="3"/>
      <c r="GV24" s="2"/>
      <c r="GW24" s="3"/>
      <c r="HB24" s="3"/>
      <c r="HN24" s="3"/>
      <c r="HP24" s="2"/>
      <c r="HQ24" s="3"/>
      <c r="HS24" s="4"/>
      <c r="II24" s="4"/>
      <c r="IK24" s="4"/>
      <c r="IS24" s="2"/>
      <c r="IT24" s="2"/>
      <c r="IV24" s="2"/>
      <c r="IW24" s="4"/>
      <c r="IY24" s="4"/>
      <c r="JH24" s="2"/>
      <c r="JK24" s="4"/>
      <c r="JM24" s="4"/>
      <c r="KD24" s="4"/>
      <c r="KF24" s="4"/>
      <c r="KJ24" s="4"/>
      <c r="KT24" s="2"/>
      <c r="KU24" s="2"/>
      <c r="KW24" s="2"/>
      <c r="LC24" s="2"/>
      <c r="LF24" s="2"/>
      <c r="LK24" s="2"/>
      <c r="LT24" s="4"/>
      <c r="LV24" s="4"/>
      <c r="NB24" s="2"/>
      <c r="NC24" s="2"/>
      <c r="NJ24" s="2"/>
      <c r="NN24" s="2"/>
      <c r="NO24" s="2"/>
      <c r="NV24" s="4"/>
      <c r="OA24" s="2"/>
      <c r="OB24" s="2"/>
      <c r="ON24" s="2"/>
      <c r="OO24" s="3"/>
      <c r="OR24" s="4"/>
      <c r="OT24" s="4"/>
      <c r="PD24" s="2"/>
      <c r="PQ24" s="2"/>
      <c r="PX24" s="2"/>
      <c r="PZ24" s="2"/>
      <c r="QF24" s="4"/>
      <c r="QH24" s="4"/>
      <c r="QZ24" s="2"/>
      <c r="RN24" s="4"/>
      <c r="RR24" s="2"/>
      <c r="RT24" s="2"/>
      <c r="SA24" s="4"/>
      <c r="SC24" s="4"/>
      <c r="SN24" s="2"/>
      <c r="SQ24" s="4"/>
      <c r="SS24" s="4"/>
      <c r="TG24" s="2"/>
      <c r="TH24" s="2"/>
      <c r="TI24" s="2"/>
      <c r="TU24" s="4"/>
      <c r="TW24" s="4"/>
    </row>
    <row r="25" spans="1:543">
      <c r="A25">
        <v>7137</v>
      </c>
      <c r="B25">
        <v>3424</v>
      </c>
      <c r="C25">
        <v>7194225623</v>
      </c>
      <c r="D25" t="s">
        <v>110</v>
      </c>
      <c r="E25" t="s">
        <v>177</v>
      </c>
      <c r="F25" t="s">
        <v>178</v>
      </c>
      <c r="G25" s="2">
        <v>40413</v>
      </c>
      <c r="H25" t="s">
        <v>30</v>
      </c>
      <c r="I25" t="s">
        <v>137</v>
      </c>
      <c r="J25" t="s">
        <v>32</v>
      </c>
      <c r="K25" t="s">
        <v>179</v>
      </c>
      <c r="L25" t="s">
        <v>77</v>
      </c>
      <c r="M25" s="2"/>
      <c r="N25" t="s">
        <v>180</v>
      </c>
      <c r="O25" s="2">
        <f>DATE(YEAR(G25) + P25, MONTH(G25), DAY(G25))</f>
        <v>63424</v>
      </c>
      <c r="P25">
        <v>63</v>
      </c>
      <c r="Q25" s="2">
        <v>45046</v>
      </c>
      <c r="R25" t="s">
        <v>36</v>
      </c>
      <c r="S25" t="s">
        <v>181</v>
      </c>
      <c r="T25" s="2">
        <v>44136</v>
      </c>
      <c r="U25" t="s">
        <v>103</v>
      </c>
      <c r="V25" t="s">
        <v>56</v>
      </c>
      <c r="W25">
        <v>22</v>
      </c>
      <c r="X25" s="1">
        <v>96121</v>
      </c>
      <c r="Y25" s="1">
        <v>19224.2</v>
      </c>
      <c r="Z25" s="1">
        <v>76896.800000000003</v>
      </c>
      <c r="AA25" s="3">
        <v>1516</v>
      </c>
      <c r="AK25" s="3"/>
      <c r="AM25" s="4"/>
      <c r="AO25" s="4"/>
      <c r="BA25" s="2"/>
      <c r="BB25" s="2"/>
      <c r="BD25" s="4"/>
      <c r="BF25" s="4"/>
      <c r="BM25" s="2"/>
      <c r="BO25" s="4"/>
      <c r="BQ25" s="4"/>
      <c r="CI25" s="2"/>
      <c r="CJ25" s="2"/>
      <c r="CN25" s="2"/>
      <c r="CQ25" s="2"/>
      <c r="CV25" s="4"/>
      <c r="CX25" s="4"/>
      <c r="DB25" s="2"/>
      <c r="DC25" s="2"/>
      <c r="DE25" s="2"/>
      <c r="DF25" s="2"/>
      <c r="DV25" s="2"/>
      <c r="DW25" s="2"/>
      <c r="EF25" s="4"/>
      <c r="EH25" s="4"/>
      <c r="ER25" s="2"/>
      <c r="ES25" s="2"/>
      <c r="EX25" s="4"/>
      <c r="EZ25" s="4"/>
      <c r="FQ25" s="4"/>
      <c r="FS25" s="4"/>
      <c r="GE25" s="2"/>
      <c r="GJ25" s="4"/>
      <c r="GL25" s="4"/>
      <c r="GR25" s="2"/>
      <c r="GT25" s="3"/>
      <c r="GW25" s="3"/>
      <c r="GX25" s="3"/>
      <c r="GY25" s="3"/>
      <c r="HB25" s="3"/>
      <c r="HP25" s="2"/>
      <c r="HS25" s="4"/>
      <c r="HU25" s="4"/>
      <c r="II25" s="4"/>
      <c r="IK25" s="4"/>
      <c r="IS25" s="2"/>
      <c r="IT25" s="2"/>
      <c r="IW25" s="4"/>
      <c r="IY25" s="4"/>
      <c r="JH25" s="2"/>
      <c r="JK25" s="4"/>
      <c r="JM25" s="4"/>
      <c r="JZ25" s="2"/>
      <c r="KD25" s="4"/>
      <c r="KF25" s="4"/>
      <c r="KJ25" s="4"/>
      <c r="KT25" s="2"/>
      <c r="KU25" s="2"/>
      <c r="LC25" s="2"/>
      <c r="LF25" s="2"/>
      <c r="LK25" s="2"/>
      <c r="LT25" s="4"/>
      <c r="LV25" s="4"/>
      <c r="NB25" s="2"/>
      <c r="NC25" s="2"/>
      <c r="NJ25" s="2"/>
      <c r="NO25" s="2"/>
      <c r="NT25" s="4"/>
      <c r="NV25" s="4"/>
      <c r="OA25" s="2"/>
      <c r="OB25" s="2"/>
      <c r="ON25" s="2"/>
      <c r="OR25" s="4"/>
      <c r="OT25" s="4"/>
      <c r="PD25" s="2"/>
      <c r="PH25" s="2"/>
      <c r="PP25" s="3"/>
      <c r="PQ25" s="2"/>
      <c r="PX25" s="2"/>
      <c r="PZ25" s="2"/>
      <c r="QF25" s="4"/>
      <c r="RA25" s="2"/>
      <c r="RN25" s="4"/>
      <c r="RR25" s="2"/>
      <c r="RT25" s="2"/>
      <c r="SA25" s="4"/>
      <c r="SC25" s="4"/>
      <c r="SN25" s="2"/>
      <c r="SQ25" s="4"/>
      <c r="SS25" s="4"/>
      <c r="TG25" s="2"/>
      <c r="TH25" s="2"/>
      <c r="TI25" s="2"/>
      <c r="TU25" s="4"/>
      <c r="TW25" s="4"/>
    </row>
    <row r="26" spans="1:543">
      <c r="A26">
        <v>1797</v>
      </c>
      <c r="B26">
        <v>768</v>
      </c>
      <c r="C26">
        <v>4108744293</v>
      </c>
      <c r="D26" t="s">
        <v>50</v>
      </c>
      <c r="E26" t="s">
        <v>182</v>
      </c>
      <c r="F26" t="s">
        <v>183</v>
      </c>
      <c r="G26" s="2">
        <v>40317</v>
      </c>
      <c r="H26" t="s">
        <v>30</v>
      </c>
      <c r="I26" t="s">
        <v>53</v>
      </c>
      <c r="J26" t="s">
        <v>32</v>
      </c>
      <c r="K26" t="s">
        <v>76</v>
      </c>
      <c r="L26" t="s">
        <v>34</v>
      </c>
      <c r="M26" s="2"/>
      <c r="N26" t="s">
        <v>184</v>
      </c>
      <c r="O26" s="2">
        <f>DATE(YEAR(G26) + P26, MONTH(G26), DAY(G26))</f>
        <v>62963</v>
      </c>
      <c r="P26">
        <v>62</v>
      </c>
      <c r="Q26" s="2">
        <v>45976</v>
      </c>
      <c r="R26" t="s">
        <v>36</v>
      </c>
      <c r="S26" t="s">
        <v>109</v>
      </c>
      <c r="T26" s="2">
        <v>35682</v>
      </c>
      <c r="U26" t="s">
        <v>103</v>
      </c>
      <c r="V26" t="s">
        <v>66</v>
      </c>
      <c r="W26">
        <v>28</v>
      </c>
      <c r="X26" s="1">
        <v>33060</v>
      </c>
      <c r="Y26" s="1">
        <v>6612</v>
      </c>
      <c r="Z26" s="1">
        <f>26448+963</f>
        <v>27411</v>
      </c>
      <c r="AA26" s="3">
        <v>1926</v>
      </c>
      <c r="AJ26" s="3"/>
      <c r="AK26" s="3"/>
      <c r="AM26" s="4"/>
      <c r="AO26" s="4"/>
      <c r="BA26" s="2"/>
      <c r="BB26" s="2"/>
      <c r="BD26" s="4"/>
      <c r="BF26" s="4"/>
      <c r="BM26" s="2"/>
      <c r="BO26" s="4"/>
      <c r="BQ26" s="4"/>
      <c r="CI26" s="2"/>
      <c r="CJ26" s="2"/>
      <c r="CN26" s="2"/>
      <c r="CV26" s="4"/>
      <c r="CX26" s="4"/>
      <c r="DB26" s="2"/>
      <c r="DE26" s="2"/>
      <c r="DF26" s="2"/>
      <c r="DV26" s="2"/>
      <c r="DW26" s="2"/>
      <c r="ER26" s="2"/>
      <c r="ES26" s="2"/>
      <c r="EX26" s="4"/>
      <c r="EZ26" s="4"/>
      <c r="FQ26" s="4"/>
      <c r="GE26" s="2"/>
      <c r="GJ26" s="4"/>
      <c r="GR26" s="2"/>
      <c r="GV26" s="2"/>
      <c r="GY26" s="3"/>
      <c r="HB26" s="3"/>
      <c r="HP26" s="2"/>
      <c r="HS26" s="4"/>
      <c r="HU26" s="4"/>
      <c r="II26" s="4"/>
      <c r="IK26" s="4"/>
      <c r="IS26" s="2"/>
      <c r="IT26" s="2"/>
      <c r="IV26" s="2"/>
      <c r="IW26" s="4"/>
      <c r="IY26" s="4"/>
      <c r="JH26" s="2"/>
      <c r="JK26" s="4"/>
      <c r="JM26" s="4"/>
      <c r="JZ26" s="2"/>
      <c r="KD26" s="4"/>
      <c r="KF26" s="4"/>
      <c r="KJ26" s="4"/>
      <c r="KT26" s="2"/>
      <c r="KU26" s="2"/>
      <c r="KW26" s="2"/>
      <c r="LC26" s="2"/>
      <c r="LF26" s="2"/>
      <c r="LH26" s="3"/>
      <c r="LK26" s="2"/>
      <c r="LT26" s="4"/>
      <c r="LV26" s="4"/>
      <c r="LZ26" s="3"/>
      <c r="ME26" s="3"/>
      <c r="MI26" s="3"/>
      <c r="NB26" s="2"/>
      <c r="NC26" s="2"/>
      <c r="NJ26" s="2"/>
      <c r="NN26" s="2"/>
      <c r="NO26" s="2"/>
      <c r="NT26" s="4"/>
      <c r="NV26" s="4"/>
      <c r="OA26" s="2"/>
      <c r="OK26" s="3"/>
      <c r="ON26" s="2"/>
      <c r="OR26" s="4"/>
      <c r="OT26" s="4"/>
      <c r="PD26" s="2"/>
      <c r="PH26" s="2"/>
      <c r="PI26" s="3"/>
      <c r="PQ26" s="2"/>
      <c r="PX26" s="2"/>
      <c r="PZ26" s="2"/>
      <c r="QF26" s="4"/>
      <c r="QH26" s="4"/>
      <c r="QZ26" s="2"/>
      <c r="RA26" s="2"/>
      <c r="RM26" s="3"/>
      <c r="RN26" s="4"/>
      <c r="RO26" s="4"/>
      <c r="RR26" s="2"/>
      <c r="RT26" s="2"/>
      <c r="RU26" s="2"/>
      <c r="SA26" s="4"/>
      <c r="SC26" s="4"/>
      <c r="SN26" s="2"/>
      <c r="SQ26" s="4"/>
      <c r="SS26" s="4"/>
      <c r="TG26" s="2"/>
      <c r="TH26" s="2"/>
      <c r="TI26" s="2"/>
      <c r="TU26" s="4"/>
      <c r="TW26" s="4"/>
    </row>
    <row r="27" spans="1:543">
      <c r="A27">
        <v>2819</v>
      </c>
      <c r="B27">
        <v>6333</v>
      </c>
      <c r="C27">
        <v>4526126960</v>
      </c>
      <c r="D27" t="s">
        <v>185</v>
      </c>
      <c r="E27" t="s">
        <v>186</v>
      </c>
      <c r="F27" t="s">
        <v>187</v>
      </c>
      <c r="G27" s="2">
        <v>40220</v>
      </c>
      <c r="H27" t="s">
        <v>30</v>
      </c>
      <c r="I27" t="s">
        <v>70</v>
      </c>
      <c r="J27" t="s">
        <v>32</v>
      </c>
      <c r="K27" t="s">
        <v>188</v>
      </c>
      <c r="L27" t="s">
        <v>95</v>
      </c>
      <c r="M27" s="2"/>
      <c r="N27" t="s">
        <v>189</v>
      </c>
      <c r="O27" s="2">
        <f>DATE(YEAR(G27) + P27, MONTH(G27), DAY(G27))</f>
        <v>63231</v>
      </c>
      <c r="P27">
        <v>63</v>
      </c>
      <c r="Q27" s="2"/>
      <c r="R27" t="s">
        <v>47</v>
      </c>
      <c r="S27" t="s">
        <v>109</v>
      </c>
      <c r="T27" s="2">
        <v>41850</v>
      </c>
      <c r="U27" t="s">
        <v>133</v>
      </c>
      <c r="V27" t="s">
        <v>56</v>
      </c>
      <c r="W27">
        <v>5</v>
      </c>
      <c r="X27" s="1">
        <v>82790</v>
      </c>
      <c r="Y27" s="1">
        <v>16558</v>
      </c>
      <c r="Z27" s="1">
        <v>66232</v>
      </c>
      <c r="AA27" s="3">
        <v>1626</v>
      </c>
      <c r="AK27" s="3"/>
      <c r="AM27" s="4"/>
      <c r="BA27" s="2"/>
      <c r="BB27" s="2"/>
      <c r="BD27" s="4"/>
      <c r="BF27" s="4"/>
      <c r="BM27" s="2"/>
      <c r="BO27" s="4"/>
      <c r="BQ27" s="4"/>
      <c r="CI27" s="2"/>
      <c r="CJ27" s="2"/>
      <c r="CN27" s="2"/>
      <c r="CQ27" s="2"/>
      <c r="CV27" s="4"/>
      <c r="CX27" s="4"/>
      <c r="DB27" s="2"/>
      <c r="DC27" s="2"/>
      <c r="DE27" s="2"/>
      <c r="DF27" s="2"/>
      <c r="DV27" s="2"/>
      <c r="DW27" s="2"/>
      <c r="EF27" s="4"/>
      <c r="EH27" s="4"/>
      <c r="ER27" s="2"/>
      <c r="ES27" s="2"/>
      <c r="EX27" s="4"/>
      <c r="EZ27" s="4"/>
      <c r="FQ27" s="4"/>
      <c r="FS27" s="4"/>
      <c r="GE27" s="2"/>
      <c r="GJ27" s="4"/>
      <c r="GL27" s="4"/>
      <c r="GV27" s="2"/>
      <c r="GW27" s="3"/>
      <c r="GY27" s="3"/>
      <c r="HB27" s="3"/>
      <c r="HO27" s="3"/>
      <c r="HS27" s="4"/>
      <c r="II27" s="4"/>
      <c r="IK27" s="4"/>
      <c r="IS27" s="2"/>
      <c r="IT27" s="2"/>
      <c r="IV27" s="2"/>
      <c r="IW27" s="4"/>
      <c r="JH27" s="2"/>
      <c r="JK27" s="4"/>
      <c r="JM27" s="4"/>
      <c r="JZ27" s="2"/>
      <c r="KD27" s="4"/>
      <c r="KF27" s="4"/>
      <c r="KJ27" s="4"/>
      <c r="KU27" s="2"/>
      <c r="KW27" s="2"/>
      <c r="LC27" s="2"/>
      <c r="LF27" s="2"/>
      <c r="LK27" s="2"/>
      <c r="LT27" s="4"/>
      <c r="LV27" s="4"/>
      <c r="NC27" s="2"/>
      <c r="NG27" s="5"/>
      <c r="NJ27" s="2"/>
      <c r="NN27" s="2"/>
      <c r="NO27" s="2"/>
      <c r="NP27" s="3"/>
      <c r="NV27" s="4"/>
      <c r="OA27" s="2"/>
      <c r="OB27" s="2"/>
      <c r="ON27" s="2"/>
      <c r="OR27" s="4"/>
      <c r="OT27" s="4"/>
      <c r="PD27" s="2"/>
      <c r="PH27" s="2"/>
      <c r="PQ27" s="2"/>
      <c r="PX27" s="2"/>
      <c r="PY27" s="3"/>
      <c r="QF27" s="4"/>
      <c r="QH27" s="4"/>
      <c r="QZ27" s="2"/>
      <c r="RA27" s="2"/>
      <c r="RN27" s="4"/>
      <c r="RO27" s="4"/>
      <c r="RR27" s="2"/>
      <c r="RT27" s="2"/>
      <c r="SA27" s="4"/>
      <c r="SC27" s="4"/>
      <c r="SN27" s="2"/>
      <c r="SQ27" s="4"/>
      <c r="SS27" s="4"/>
      <c r="TG27" s="2"/>
      <c r="TH27" s="2"/>
      <c r="TI27" s="2"/>
      <c r="TU27" s="4"/>
      <c r="TW27" s="4"/>
    </row>
    <row r="28" spans="1:543">
      <c r="A28">
        <v>2746</v>
      </c>
      <c r="B28">
        <v>4475</v>
      </c>
      <c r="C28">
        <v>8593228805</v>
      </c>
      <c r="D28" t="s">
        <v>104</v>
      </c>
      <c r="E28" t="s">
        <v>190</v>
      </c>
      <c r="F28" t="s">
        <v>191</v>
      </c>
      <c r="G28" s="2">
        <v>34128</v>
      </c>
      <c r="H28" t="s">
        <v>43</v>
      </c>
      <c r="I28" t="s">
        <v>192</v>
      </c>
      <c r="J28" t="s">
        <v>61</v>
      </c>
      <c r="K28" t="s">
        <v>193</v>
      </c>
      <c r="L28" t="s">
        <v>77</v>
      </c>
      <c r="M28" s="2">
        <v>26726</v>
      </c>
      <c r="N28" t="s">
        <v>194</v>
      </c>
      <c r="O28" s="2">
        <f>DATE(YEAR(G28) + P28, MONTH(G28), DAY(G28))</f>
        <v>56773</v>
      </c>
      <c r="P28">
        <v>62</v>
      </c>
      <c r="Q28" s="2"/>
      <c r="R28" t="s">
        <v>47</v>
      </c>
      <c r="S28" t="s">
        <v>48</v>
      </c>
      <c r="T28" s="2">
        <v>27304</v>
      </c>
      <c r="U28" t="s">
        <v>38</v>
      </c>
      <c r="V28" t="s">
        <v>38</v>
      </c>
      <c r="W28">
        <v>23</v>
      </c>
      <c r="X28" s="1">
        <v>61526</v>
      </c>
      <c r="Y28" s="1">
        <v>12305.2</v>
      </c>
      <c r="Z28" s="1">
        <v>49220.800000000003</v>
      </c>
      <c r="AA28" s="3">
        <v>456</v>
      </c>
      <c r="AK28" s="3"/>
      <c r="AM28" s="4"/>
      <c r="AO28" s="4"/>
      <c r="BA28" s="2"/>
      <c r="BB28" s="2"/>
      <c r="BD28" s="4"/>
      <c r="BF28" s="4"/>
      <c r="BM28" s="2"/>
      <c r="BO28" s="4"/>
      <c r="CI28" s="2"/>
      <c r="CJ28" s="2"/>
      <c r="CN28" s="2"/>
      <c r="CQ28" s="2"/>
      <c r="CV28" s="4"/>
      <c r="CX28" s="4"/>
      <c r="DB28" s="2"/>
      <c r="DC28" s="2"/>
      <c r="DE28" s="2"/>
      <c r="DF28" s="2"/>
      <c r="DV28" s="2"/>
      <c r="DW28" s="2"/>
      <c r="EF28" s="4"/>
      <c r="EH28" s="4"/>
      <c r="ER28" s="2"/>
      <c r="ES28" s="2"/>
      <c r="EU28" s="3"/>
      <c r="EX28" s="4"/>
      <c r="EZ28" s="4"/>
      <c r="FQ28" s="4"/>
      <c r="FS28" s="4"/>
      <c r="GE28" s="2"/>
      <c r="GJ28" s="4"/>
      <c r="GL28" s="4"/>
      <c r="GR28" s="2"/>
      <c r="GT28" s="3"/>
      <c r="GV28" s="2"/>
      <c r="HB28" s="3"/>
      <c r="HP28" s="2"/>
      <c r="HQ28" s="3"/>
      <c r="HS28" s="4"/>
      <c r="HU28" s="4"/>
      <c r="II28" s="4"/>
      <c r="IK28" s="4"/>
      <c r="IS28" s="2"/>
      <c r="IT28" s="2"/>
      <c r="IW28" s="4"/>
      <c r="IY28" s="4"/>
      <c r="JH28" s="2"/>
      <c r="JK28" s="4"/>
      <c r="JM28" s="4"/>
      <c r="JZ28" s="2"/>
      <c r="KC28" s="3"/>
      <c r="KD28" s="4"/>
      <c r="KF28" s="4"/>
      <c r="KJ28" s="4"/>
      <c r="KT28" s="2"/>
      <c r="KU28" s="2"/>
      <c r="KW28" s="2"/>
      <c r="LC28" s="2"/>
      <c r="LF28" s="2"/>
      <c r="LK28" s="2"/>
      <c r="LT28" s="4"/>
      <c r="LV28" s="4"/>
      <c r="LZ28" s="3"/>
      <c r="NB28" s="2"/>
      <c r="NC28" s="2"/>
      <c r="NG28" s="5"/>
      <c r="NJ28" s="2"/>
      <c r="NN28" s="2"/>
      <c r="NO28" s="2"/>
      <c r="NQ28" s="3"/>
      <c r="NT28" s="4"/>
      <c r="NV28" s="4"/>
      <c r="OA28" s="2"/>
      <c r="OB28" s="2"/>
      <c r="OR28" s="4"/>
      <c r="OT28" s="4"/>
      <c r="PD28" s="2"/>
      <c r="PH28" s="2"/>
      <c r="PQ28" s="2"/>
      <c r="PX28" s="2"/>
      <c r="PZ28" s="2"/>
      <c r="QF28" s="4"/>
      <c r="QH28" s="4"/>
      <c r="QZ28" s="2"/>
      <c r="RA28" s="2"/>
      <c r="RN28" s="4"/>
      <c r="RO28" s="4"/>
      <c r="RR28" s="2"/>
      <c r="RT28" s="2"/>
      <c r="SA28" s="4"/>
      <c r="SC28" s="4"/>
      <c r="SN28" s="2"/>
      <c r="SQ28" s="4"/>
      <c r="SS28" s="4"/>
      <c r="TH28" s="2"/>
      <c r="TI28" s="2"/>
      <c r="TU28" s="4"/>
      <c r="TW28" s="4"/>
    </row>
    <row r="29" spans="1:543">
      <c r="A29">
        <v>9486</v>
      </c>
      <c r="B29">
        <v>4112</v>
      </c>
      <c r="C29">
        <v>2386055712</v>
      </c>
      <c r="D29" t="s">
        <v>91</v>
      </c>
      <c r="E29" t="s">
        <v>195</v>
      </c>
      <c r="F29" t="s">
        <v>196</v>
      </c>
      <c r="G29" s="2">
        <v>40542</v>
      </c>
      <c r="H29" t="s">
        <v>30</v>
      </c>
      <c r="I29" t="s">
        <v>70</v>
      </c>
      <c r="J29" t="s">
        <v>61</v>
      </c>
      <c r="K29" t="s">
        <v>197</v>
      </c>
      <c r="L29" t="s">
        <v>95</v>
      </c>
      <c r="M29" s="2">
        <v>28432</v>
      </c>
      <c r="N29" t="s">
        <v>198</v>
      </c>
      <c r="O29" s="2">
        <f>DATE(YEAR(G29) + P29, MONTH(G29), DAY(G29))</f>
        <v>64283</v>
      </c>
      <c r="P29">
        <v>65</v>
      </c>
      <c r="Q29" s="2"/>
      <c r="R29" t="s">
        <v>47</v>
      </c>
      <c r="S29" t="s">
        <v>102</v>
      </c>
      <c r="T29" s="2">
        <v>26633</v>
      </c>
      <c r="U29" t="s">
        <v>49</v>
      </c>
      <c r="V29" t="s">
        <v>56</v>
      </c>
      <c r="W29">
        <v>20</v>
      </c>
      <c r="X29" s="1">
        <v>23405</v>
      </c>
      <c r="Y29" s="1">
        <v>4681</v>
      </c>
      <c r="Z29" s="1">
        <v>18724</v>
      </c>
      <c r="AA29" s="3">
        <v>1432</v>
      </c>
      <c r="AK29" s="3"/>
      <c r="AM29" s="4"/>
      <c r="AO29" s="4"/>
      <c r="BA29" s="2"/>
      <c r="BD29" s="4"/>
      <c r="BF29" s="4"/>
      <c r="BM29" s="2"/>
      <c r="BO29" s="4"/>
      <c r="CF29" s="3"/>
      <c r="CI29" s="2"/>
      <c r="CJ29" s="2"/>
      <c r="CN29" s="2"/>
      <c r="CV29" s="4"/>
      <c r="CX29" s="4"/>
      <c r="DB29" s="2"/>
      <c r="DC29" s="2"/>
      <c r="DD29" s="3"/>
      <c r="DE29" s="2"/>
      <c r="DF29" s="2"/>
      <c r="DV29" s="2"/>
      <c r="DW29" s="2"/>
      <c r="EF29" s="4"/>
      <c r="EH29" s="4"/>
      <c r="ER29" s="2"/>
      <c r="ES29" s="2"/>
      <c r="EX29" s="4"/>
      <c r="EZ29" s="4"/>
      <c r="FS29" s="4"/>
      <c r="GE29" s="2"/>
      <c r="GJ29" s="4"/>
      <c r="GL29" s="4"/>
      <c r="GR29" s="2"/>
      <c r="GS29" s="3"/>
      <c r="GV29" s="2"/>
      <c r="GX29" s="3"/>
      <c r="HB29" s="3"/>
      <c r="HP29" s="2"/>
      <c r="HQ29" s="3"/>
      <c r="HS29" s="4"/>
      <c r="HU29" s="4"/>
      <c r="II29" s="4"/>
      <c r="IK29" s="4"/>
      <c r="IS29" s="2"/>
      <c r="IT29" s="2"/>
      <c r="IV29" s="2"/>
      <c r="IW29" s="4"/>
      <c r="IY29" s="4"/>
      <c r="JH29" s="2"/>
      <c r="JK29" s="4"/>
      <c r="JM29" s="4"/>
      <c r="JZ29" s="2"/>
      <c r="KD29" s="4"/>
      <c r="KF29" s="4"/>
      <c r="KJ29" s="4"/>
      <c r="KT29" s="2"/>
      <c r="KU29" s="2"/>
      <c r="KW29" s="2"/>
      <c r="LC29" s="2"/>
      <c r="LF29" s="2"/>
      <c r="LK29" s="2"/>
      <c r="LM29" s="3"/>
      <c r="LT29" s="4"/>
      <c r="LV29" s="4"/>
      <c r="NB29" s="2"/>
      <c r="NC29" s="2"/>
      <c r="NJ29" s="2"/>
      <c r="NN29" s="2"/>
      <c r="NO29" s="2"/>
      <c r="NV29" s="4"/>
      <c r="OA29" s="2"/>
      <c r="OB29" s="2"/>
      <c r="ON29" s="2"/>
      <c r="OR29" s="4"/>
      <c r="PD29" s="2"/>
      <c r="PH29" s="2"/>
      <c r="PQ29" s="2"/>
      <c r="PX29" s="2"/>
      <c r="PZ29" s="2"/>
      <c r="QF29" s="4"/>
      <c r="QH29" s="4"/>
      <c r="QZ29" s="2"/>
      <c r="RN29" s="4"/>
      <c r="RO29" s="4"/>
      <c r="RR29" s="2"/>
      <c r="RT29" s="2"/>
      <c r="RU29" s="2"/>
      <c r="SA29" s="4"/>
      <c r="SC29" s="4"/>
      <c r="SM29" s="3"/>
      <c r="SN29" s="2"/>
      <c r="SQ29" s="4"/>
      <c r="SS29" s="4"/>
      <c r="TG29" s="2"/>
      <c r="TH29" s="2"/>
      <c r="TI29" s="2"/>
      <c r="TU29" s="4"/>
      <c r="TW29" s="4"/>
    </row>
    <row r="30" spans="1:543">
      <c r="A30">
        <v>8032</v>
      </c>
      <c r="B30">
        <v>6121</v>
      </c>
      <c r="C30">
        <v>1567423072</v>
      </c>
      <c r="D30" t="s">
        <v>199</v>
      </c>
      <c r="E30" t="s">
        <v>200</v>
      </c>
      <c r="F30" t="s">
        <v>201</v>
      </c>
      <c r="G30" s="2">
        <v>36923</v>
      </c>
      <c r="H30" t="s">
        <v>43</v>
      </c>
      <c r="I30" t="s">
        <v>44</v>
      </c>
      <c r="J30" t="s">
        <v>61</v>
      </c>
      <c r="K30" t="s">
        <v>202</v>
      </c>
      <c r="L30" t="s">
        <v>34</v>
      </c>
      <c r="M30" s="2">
        <v>44134</v>
      </c>
      <c r="N30" t="s">
        <v>203</v>
      </c>
      <c r="O30" s="2">
        <f>DATE(YEAR(G30) + P30, MONTH(G30), DAY(G30))</f>
        <v>61394</v>
      </c>
      <c r="P30">
        <v>67</v>
      </c>
      <c r="Q30" s="2"/>
      <c r="R30" t="s">
        <v>47</v>
      </c>
      <c r="S30" t="s">
        <v>37</v>
      </c>
      <c r="T30" s="2">
        <v>43869</v>
      </c>
      <c r="U30" t="s">
        <v>65</v>
      </c>
      <c r="V30" t="s">
        <v>66</v>
      </c>
      <c r="W30">
        <v>5</v>
      </c>
      <c r="X30" s="1">
        <v>42366</v>
      </c>
      <c r="Y30" s="1">
        <v>8473.2000000000007</v>
      </c>
      <c r="Z30" s="1">
        <v>33892.800000000003</v>
      </c>
      <c r="AA30" s="3">
        <v>1896</v>
      </c>
      <c r="AK30" s="3"/>
      <c r="AM30" s="4"/>
      <c r="BA30" s="2"/>
      <c r="BB30" s="2"/>
      <c r="BD30" s="4"/>
      <c r="BF30" s="4"/>
      <c r="BM30" s="2"/>
      <c r="BO30" s="4"/>
      <c r="BQ30" s="4"/>
      <c r="CI30" s="2"/>
      <c r="CJ30" s="2"/>
      <c r="CP30" s="3"/>
      <c r="CQ30" s="2"/>
      <c r="CV30" s="4"/>
      <c r="CX30" s="4"/>
      <c r="DB30" s="2"/>
      <c r="DC30" s="2"/>
      <c r="DE30" s="2"/>
      <c r="DF30" s="2"/>
      <c r="DV30" s="2"/>
      <c r="DW30" s="2"/>
      <c r="EF30" s="4"/>
      <c r="EH30" s="4"/>
      <c r="ES30" s="2"/>
      <c r="EX30" s="4"/>
      <c r="EZ30" s="4"/>
      <c r="FQ30" s="4"/>
      <c r="FS30" s="4"/>
      <c r="GE30" s="2"/>
      <c r="GJ30" s="4"/>
      <c r="GL30" s="4"/>
      <c r="GR30" s="2"/>
      <c r="GS30" s="3"/>
      <c r="GU30" s="3"/>
      <c r="GV30" s="2"/>
      <c r="GW30" s="3"/>
      <c r="HB30" s="3"/>
      <c r="HN30" s="3"/>
      <c r="HP30" s="2"/>
      <c r="HQ30" s="3"/>
      <c r="HS30" s="4"/>
      <c r="II30" s="4"/>
      <c r="IK30" s="4"/>
      <c r="IS30" s="2"/>
      <c r="IT30" s="2"/>
      <c r="IV30" s="2"/>
      <c r="IW30" s="4"/>
      <c r="IY30" s="4"/>
      <c r="JH30" s="2"/>
      <c r="JK30" s="4"/>
      <c r="JM30" s="4"/>
      <c r="JZ30" s="2"/>
      <c r="KD30" s="4"/>
      <c r="KF30" s="4"/>
      <c r="KJ30" s="4"/>
      <c r="KT30" s="2"/>
      <c r="KU30" s="2"/>
      <c r="KW30" s="2"/>
      <c r="LC30" s="2"/>
      <c r="LK30" s="2"/>
      <c r="LV30" s="4"/>
      <c r="NB30" s="2"/>
      <c r="NC30" s="2"/>
      <c r="NN30" s="2"/>
      <c r="NO30" s="2"/>
      <c r="NT30" s="4"/>
      <c r="NV30" s="4"/>
      <c r="OA30" s="2"/>
      <c r="OB30" s="2"/>
      <c r="ON30" s="2"/>
      <c r="OR30" s="4"/>
      <c r="OT30" s="4"/>
      <c r="PD30" s="2"/>
      <c r="PH30" s="2"/>
      <c r="PX30" s="2"/>
      <c r="PZ30" s="2"/>
      <c r="QF30" s="4"/>
      <c r="QH30" s="4"/>
      <c r="QZ30" s="2"/>
      <c r="RA30" s="2"/>
      <c r="RN30" s="4"/>
      <c r="RO30" s="4"/>
      <c r="RR30" s="2"/>
      <c r="RT30" s="2"/>
      <c r="RU30" s="2"/>
      <c r="SA30" s="4"/>
      <c r="SC30" s="4"/>
      <c r="SQ30" s="4"/>
      <c r="SS30" s="4"/>
      <c r="TG30" s="2"/>
      <c r="TH30" s="2"/>
      <c r="TI30" s="2"/>
      <c r="TU30" s="4"/>
      <c r="TW30" s="4"/>
    </row>
    <row r="31" spans="1:543">
      <c r="A31">
        <v>3730</v>
      </c>
      <c r="B31">
        <v>2252</v>
      </c>
      <c r="C31">
        <v>9532001207</v>
      </c>
      <c r="D31" t="s">
        <v>50</v>
      </c>
      <c r="E31" t="s">
        <v>531</v>
      </c>
      <c r="F31" t="s">
        <v>205</v>
      </c>
      <c r="G31" s="2">
        <v>32786</v>
      </c>
      <c r="H31" t="s">
        <v>30</v>
      </c>
      <c r="I31" t="s">
        <v>137</v>
      </c>
      <c r="J31" t="s">
        <v>32</v>
      </c>
      <c r="K31" t="s">
        <v>206</v>
      </c>
      <c r="L31" t="s">
        <v>34</v>
      </c>
      <c r="M31" s="2"/>
      <c r="N31" t="s">
        <v>207</v>
      </c>
      <c r="O31" s="2">
        <f>DATE(YEAR(G31) + P31, MONTH(G31), DAY(G31))</f>
        <v>56527</v>
      </c>
      <c r="P31">
        <v>65</v>
      </c>
      <c r="Q31" s="2"/>
      <c r="R31" t="s">
        <v>47</v>
      </c>
      <c r="S31" t="s">
        <v>109</v>
      </c>
      <c r="T31" s="2">
        <v>29140</v>
      </c>
      <c r="U31" t="s">
        <v>38</v>
      </c>
      <c r="V31" t="s">
        <v>38</v>
      </c>
      <c r="W31">
        <v>12</v>
      </c>
      <c r="X31" s="1">
        <v>29822</v>
      </c>
      <c r="Y31" s="1">
        <v>5964.4000000000005</v>
      </c>
      <c r="Z31" s="1">
        <v>23857.599999999999</v>
      </c>
      <c r="AA31" s="3">
        <v>1612</v>
      </c>
      <c r="AK31" s="3"/>
      <c r="AM31" s="4"/>
      <c r="AO31" s="4"/>
      <c r="BA31" s="2"/>
      <c r="BD31" s="4"/>
      <c r="BF31" s="4"/>
      <c r="BM31" s="2"/>
      <c r="BO31" s="4"/>
      <c r="BQ31" s="4"/>
      <c r="CI31" s="2"/>
      <c r="CJ31" s="2"/>
      <c r="CN31" s="2"/>
      <c r="CQ31" s="2"/>
      <c r="CV31" s="4"/>
      <c r="CX31" s="4"/>
      <c r="DB31" s="2"/>
      <c r="DC31" s="2"/>
      <c r="DE31" s="2"/>
      <c r="DF31" s="2"/>
      <c r="DV31" s="2"/>
      <c r="DW31" s="2"/>
      <c r="EF31" s="4"/>
      <c r="EH31" s="4"/>
      <c r="ER31" s="2"/>
      <c r="ES31" s="2"/>
      <c r="EX31" s="4"/>
      <c r="EZ31" s="4"/>
      <c r="FS31" s="4"/>
      <c r="GE31" s="2"/>
      <c r="GJ31" s="4"/>
      <c r="GL31" s="4"/>
      <c r="GR31" s="2"/>
      <c r="GS31" s="3"/>
      <c r="GU31" s="3"/>
      <c r="GV31" s="2"/>
      <c r="GX31" s="3"/>
      <c r="HB31" s="3"/>
      <c r="HP31" s="2"/>
      <c r="HS31" s="4"/>
      <c r="HU31" s="4"/>
      <c r="II31" s="4"/>
      <c r="IK31" s="4"/>
      <c r="IS31" s="2"/>
      <c r="IT31" s="2"/>
      <c r="IV31" s="2"/>
      <c r="IW31" s="4"/>
      <c r="IY31" s="4"/>
      <c r="JK31" s="4"/>
      <c r="JM31" s="4"/>
      <c r="JZ31" s="2"/>
      <c r="KD31" s="4"/>
      <c r="KF31" s="4"/>
      <c r="KJ31" s="4"/>
      <c r="KT31" s="2"/>
      <c r="KW31" s="2"/>
      <c r="LC31" s="2"/>
      <c r="LK31" s="2"/>
      <c r="LT31" s="4"/>
      <c r="LV31" s="4"/>
      <c r="MG31" s="3"/>
      <c r="MK31" s="3"/>
      <c r="NB31" s="2"/>
      <c r="NC31" s="2"/>
      <c r="NJ31" s="2"/>
      <c r="NN31" s="2"/>
      <c r="NO31" s="2"/>
      <c r="NT31" s="4"/>
      <c r="NV31" s="4"/>
      <c r="OA31" s="2"/>
      <c r="OB31" s="2"/>
      <c r="ON31" s="2"/>
      <c r="OO31" s="3"/>
      <c r="OR31" s="4"/>
      <c r="PD31" s="2"/>
      <c r="PH31" s="2"/>
      <c r="PQ31" s="2"/>
      <c r="PX31" s="2"/>
      <c r="PZ31" s="2"/>
      <c r="QF31" s="4"/>
      <c r="QH31" s="4"/>
      <c r="QZ31" s="2"/>
      <c r="RA31" s="2"/>
      <c r="RN31" s="4"/>
      <c r="RO31" s="4"/>
      <c r="RR31" s="2"/>
      <c r="RT31" s="2"/>
      <c r="RU31" s="2"/>
      <c r="SA31" s="4"/>
      <c r="SC31" s="4"/>
      <c r="SN31" s="2"/>
      <c r="SQ31" s="4"/>
      <c r="SS31" s="4"/>
      <c r="TG31" s="2"/>
      <c r="TP31" s="3"/>
      <c r="TU31" s="4"/>
      <c r="TW31" s="4"/>
    </row>
    <row r="32" spans="1:543">
      <c r="A32">
        <v>2827</v>
      </c>
      <c r="B32">
        <v>6172</v>
      </c>
      <c r="C32">
        <v>5035104637</v>
      </c>
      <c r="D32" t="s">
        <v>208</v>
      </c>
      <c r="E32" t="s">
        <v>209</v>
      </c>
      <c r="F32" t="s">
        <v>210</v>
      </c>
      <c r="G32" s="2">
        <v>28963</v>
      </c>
      <c r="H32" t="s">
        <v>43</v>
      </c>
      <c r="I32" t="s">
        <v>75</v>
      </c>
      <c r="J32" t="s">
        <v>61</v>
      </c>
      <c r="K32" t="s">
        <v>211</v>
      </c>
      <c r="L32" t="s">
        <v>77</v>
      </c>
      <c r="M32" s="2">
        <v>45600</v>
      </c>
      <c r="N32" t="s">
        <v>212</v>
      </c>
      <c r="O32" s="2">
        <f>DATE(YEAR(G32) + P32, MONTH(G32), DAY(G32))</f>
        <v>53070</v>
      </c>
      <c r="P32">
        <v>66</v>
      </c>
      <c r="Q32" s="2"/>
      <c r="R32" t="s">
        <v>47</v>
      </c>
      <c r="S32" t="s">
        <v>109</v>
      </c>
      <c r="T32" s="2">
        <v>45595</v>
      </c>
      <c r="U32" t="s">
        <v>103</v>
      </c>
      <c r="V32" t="s">
        <v>39</v>
      </c>
      <c r="W32">
        <v>13</v>
      </c>
      <c r="X32" s="1">
        <v>39417</v>
      </c>
      <c r="Y32" s="1">
        <v>7883.4000000000005</v>
      </c>
      <c r="Z32" s="1">
        <v>31533.599999999999</v>
      </c>
      <c r="AA32" s="3">
        <v>504</v>
      </c>
      <c r="AK32" s="3"/>
      <c r="AM32" s="4"/>
      <c r="AO32" s="4"/>
      <c r="BA32" s="2"/>
      <c r="BB32" s="2"/>
      <c r="BD32" s="4"/>
      <c r="BM32" s="2"/>
      <c r="BO32" s="4"/>
      <c r="BQ32" s="4"/>
      <c r="CI32" s="2"/>
      <c r="CJ32" s="2"/>
      <c r="CN32" s="2"/>
      <c r="CQ32" s="2"/>
      <c r="CV32" s="4"/>
      <c r="CX32" s="4"/>
      <c r="DB32" s="2"/>
      <c r="DC32" s="2"/>
      <c r="DE32" s="2"/>
      <c r="DF32" s="2"/>
      <c r="DW32" s="2"/>
      <c r="EF32" s="4"/>
      <c r="EH32" s="4"/>
      <c r="ER32" s="2"/>
      <c r="EX32" s="4"/>
      <c r="EZ32" s="4"/>
      <c r="FQ32" s="4"/>
      <c r="FS32" s="4"/>
      <c r="GE32" s="2"/>
      <c r="GL32" s="4"/>
      <c r="GS32" s="3"/>
      <c r="GU32" s="3"/>
      <c r="GV32" s="2"/>
      <c r="GX32" s="3"/>
      <c r="GY32" s="3"/>
      <c r="HB32" s="3"/>
      <c r="HO32" s="3"/>
      <c r="HP32" s="2"/>
      <c r="HS32" s="4"/>
      <c r="HU32" s="4"/>
      <c r="IK32" s="4"/>
      <c r="IS32" s="2"/>
      <c r="IT32" s="2"/>
      <c r="IV32" s="2"/>
      <c r="IW32" s="4"/>
      <c r="IY32" s="4"/>
      <c r="JH32" s="2"/>
      <c r="JK32" s="4"/>
      <c r="JM32" s="4"/>
      <c r="JZ32" s="2"/>
      <c r="KD32" s="4"/>
      <c r="KF32" s="4"/>
      <c r="KJ32" s="4"/>
      <c r="KT32" s="2"/>
      <c r="KU32" s="2"/>
      <c r="KW32" s="2"/>
      <c r="LF32" s="2"/>
      <c r="LK32" s="2"/>
      <c r="LT32" s="4"/>
      <c r="LV32" s="4"/>
      <c r="MB32" s="3"/>
      <c r="MJ32" s="3"/>
      <c r="NB32" s="2"/>
      <c r="NC32" s="2"/>
      <c r="NJ32" s="2"/>
      <c r="NN32" s="2"/>
      <c r="NO32" s="2"/>
      <c r="NT32" s="4"/>
      <c r="OA32" s="2"/>
      <c r="OB32" s="2"/>
      <c r="ON32" s="2"/>
      <c r="OR32" s="4"/>
      <c r="PD32" s="2"/>
      <c r="PH32" s="2"/>
      <c r="PQ32" s="2"/>
      <c r="PX32" s="2"/>
      <c r="PZ32" s="2"/>
      <c r="QF32" s="4"/>
      <c r="QH32" s="4"/>
      <c r="QZ32" s="2"/>
      <c r="RA32" s="2"/>
      <c r="RN32" s="4"/>
      <c r="RO32" s="4"/>
      <c r="RT32" s="2"/>
      <c r="RU32" s="2"/>
      <c r="SA32" s="4"/>
      <c r="SC32" s="4"/>
      <c r="SN32" s="2"/>
      <c r="SQ32" s="4"/>
      <c r="SS32" s="4"/>
      <c r="TG32" s="2"/>
      <c r="TH32" s="2"/>
      <c r="TI32" s="2"/>
      <c r="TU32" s="4"/>
      <c r="TW32" s="4"/>
    </row>
    <row r="33" spans="1:543">
      <c r="A33">
        <v>1544</v>
      </c>
      <c r="B33">
        <v>5535</v>
      </c>
      <c r="C33">
        <v>3865336806</v>
      </c>
      <c r="D33" t="s">
        <v>213</v>
      </c>
      <c r="E33" t="s">
        <v>214</v>
      </c>
      <c r="F33" t="s">
        <v>215</v>
      </c>
      <c r="G33" s="2">
        <v>25537</v>
      </c>
      <c r="H33" t="s">
        <v>30</v>
      </c>
      <c r="I33" t="s">
        <v>137</v>
      </c>
      <c r="J33" t="s">
        <v>32</v>
      </c>
      <c r="K33" t="s">
        <v>216</v>
      </c>
      <c r="L33" t="s">
        <v>95</v>
      </c>
      <c r="M33" s="2"/>
      <c r="N33" t="s">
        <v>217</v>
      </c>
      <c r="O33" s="2">
        <f>DATE(YEAR(G33) + P33, MONTH(G33), DAY(G33))</f>
        <v>47817</v>
      </c>
      <c r="P33">
        <v>61</v>
      </c>
      <c r="Q33" s="2"/>
      <c r="R33" t="s">
        <v>47</v>
      </c>
      <c r="S33" t="s">
        <v>37</v>
      </c>
      <c r="T33" s="2">
        <v>42067</v>
      </c>
      <c r="U33" t="s">
        <v>49</v>
      </c>
      <c r="V33" t="s">
        <v>66</v>
      </c>
      <c r="W33">
        <v>8</v>
      </c>
      <c r="X33" s="1">
        <v>43707</v>
      </c>
      <c r="Y33" s="1">
        <v>8741.4</v>
      </c>
      <c r="Z33" s="1">
        <v>34965.599999999999</v>
      </c>
      <c r="AA33" s="3">
        <v>130</v>
      </c>
      <c r="AK33" s="3"/>
      <c r="AM33" s="4"/>
      <c r="AO33" s="4"/>
      <c r="BA33" s="2"/>
      <c r="BB33" s="2"/>
      <c r="BD33" s="4"/>
      <c r="BF33" s="4"/>
      <c r="BM33" s="2"/>
      <c r="BO33" s="4"/>
      <c r="BQ33" s="4"/>
      <c r="CH33" s="3"/>
      <c r="CI33" s="2"/>
      <c r="CJ33" s="2"/>
      <c r="CL33" s="3"/>
      <c r="CN33" s="2"/>
      <c r="CQ33" s="2"/>
      <c r="CV33" s="4"/>
      <c r="CX33" s="4"/>
      <c r="DB33" s="2"/>
      <c r="DC33" s="2"/>
      <c r="DE33" s="2"/>
      <c r="DV33" s="2"/>
      <c r="DW33" s="2"/>
      <c r="EF33" s="4"/>
      <c r="EH33" s="4"/>
      <c r="ER33" s="2"/>
      <c r="ES33" s="2"/>
      <c r="EX33" s="4"/>
      <c r="EZ33" s="4"/>
      <c r="FQ33" s="4"/>
      <c r="FS33" s="4"/>
      <c r="GE33" s="2"/>
      <c r="GJ33" s="4"/>
      <c r="GL33" s="4"/>
      <c r="GR33" s="2"/>
      <c r="GV33" s="2"/>
      <c r="GX33" s="3"/>
      <c r="GY33" s="3"/>
      <c r="HB33" s="3"/>
      <c r="HS33" s="4"/>
      <c r="HU33" s="4"/>
      <c r="II33" s="4"/>
      <c r="IK33" s="4"/>
      <c r="IS33" s="2"/>
      <c r="IT33" s="2"/>
      <c r="IV33" s="2"/>
      <c r="IW33" s="4"/>
      <c r="IY33" s="4"/>
      <c r="JH33" s="2"/>
      <c r="JK33" s="4"/>
      <c r="JM33" s="4"/>
      <c r="JZ33" s="2"/>
      <c r="KA33" s="3"/>
      <c r="KC33" s="3"/>
      <c r="KD33" s="4"/>
      <c r="KJ33" s="4"/>
      <c r="KT33" s="2"/>
      <c r="KU33" s="2"/>
      <c r="KW33" s="2"/>
      <c r="LC33" s="2"/>
      <c r="LF33" s="2"/>
      <c r="LK33" s="2"/>
      <c r="LT33" s="4"/>
      <c r="LV33" s="4"/>
      <c r="NB33" s="2"/>
      <c r="NC33" s="2"/>
      <c r="NG33" s="5"/>
      <c r="NJ33" s="2"/>
      <c r="NN33" s="2"/>
      <c r="NO33" s="2"/>
      <c r="NP33" s="3"/>
      <c r="NV33" s="4"/>
      <c r="OA33" s="2"/>
      <c r="OB33" s="2"/>
      <c r="ON33" s="2"/>
      <c r="OR33" s="4"/>
      <c r="PD33" s="2"/>
      <c r="PH33" s="2"/>
      <c r="PQ33" s="2"/>
      <c r="PX33" s="2"/>
      <c r="PZ33" s="2"/>
      <c r="QF33" s="4"/>
      <c r="QH33" s="4"/>
      <c r="QZ33" s="2"/>
      <c r="RA33" s="2"/>
      <c r="RN33" s="4"/>
      <c r="RO33" s="4"/>
      <c r="RR33" s="2"/>
      <c r="RT33" s="2"/>
      <c r="SA33" s="4"/>
      <c r="SC33" s="4"/>
      <c r="SN33" s="2"/>
      <c r="SQ33" s="4"/>
      <c r="SS33" s="4"/>
      <c r="TG33" s="2"/>
      <c r="TH33" s="2"/>
      <c r="TI33" s="2"/>
      <c r="TU33" s="4"/>
      <c r="TW33" s="4"/>
    </row>
    <row r="34" spans="1:543">
      <c r="A34">
        <v>391</v>
      </c>
      <c r="B34">
        <v>4098</v>
      </c>
      <c r="C34">
        <v>9256227341</v>
      </c>
      <c r="D34" t="s">
        <v>185</v>
      </c>
      <c r="E34" t="s">
        <v>218</v>
      </c>
      <c r="F34" t="s">
        <v>219</v>
      </c>
      <c r="G34" s="2">
        <v>40496</v>
      </c>
      <c r="H34" t="s">
        <v>43</v>
      </c>
      <c r="I34" t="s">
        <v>60</v>
      </c>
      <c r="J34" t="s">
        <v>32</v>
      </c>
      <c r="K34" t="s">
        <v>220</v>
      </c>
      <c r="L34" t="s">
        <v>95</v>
      </c>
      <c r="M34" s="2"/>
      <c r="N34" t="s">
        <v>221</v>
      </c>
      <c r="O34" s="2">
        <f>DATE(YEAR(G34) + P34, MONTH(G34), DAY(G34))</f>
        <v>65698</v>
      </c>
      <c r="P34">
        <v>69</v>
      </c>
      <c r="Q34" s="2"/>
      <c r="R34" t="s">
        <v>47</v>
      </c>
      <c r="S34" t="s">
        <v>109</v>
      </c>
      <c r="T34" s="2">
        <v>45200</v>
      </c>
      <c r="U34" t="s">
        <v>49</v>
      </c>
      <c r="V34" t="s">
        <v>38</v>
      </c>
      <c r="W34">
        <v>8</v>
      </c>
      <c r="X34" s="1">
        <v>66910</v>
      </c>
      <c r="Y34" s="1">
        <v>13382</v>
      </c>
      <c r="Z34" s="1">
        <v>53528</v>
      </c>
      <c r="AA34" s="3">
        <v>382</v>
      </c>
      <c r="AK34" s="3"/>
      <c r="AM34" s="4"/>
      <c r="AO34" s="4"/>
      <c r="BA34" s="2"/>
      <c r="BB34" s="2"/>
      <c r="BD34" s="4"/>
      <c r="BF34" s="4"/>
      <c r="BM34" s="2"/>
      <c r="BO34" s="4"/>
      <c r="CI34" s="2"/>
      <c r="CJ34" s="2"/>
      <c r="CL34" s="3"/>
      <c r="CN34" s="2"/>
      <c r="CQ34" s="2"/>
      <c r="CV34" s="4"/>
      <c r="CX34" s="4"/>
      <c r="DC34" s="2"/>
      <c r="DE34" s="2"/>
      <c r="DF34" s="2"/>
      <c r="DV34" s="2"/>
      <c r="DW34" s="2"/>
      <c r="EF34" s="4"/>
      <c r="EH34" s="4"/>
      <c r="ES34" s="2"/>
      <c r="EU34" s="3"/>
      <c r="EX34" s="4"/>
      <c r="EZ34" s="4"/>
      <c r="FQ34" s="4"/>
      <c r="FS34" s="4"/>
      <c r="GE34" s="2"/>
      <c r="GJ34" s="4"/>
      <c r="GR34" s="2"/>
      <c r="GS34" s="3"/>
      <c r="GX34" s="3"/>
      <c r="HB34" s="3"/>
      <c r="HN34" s="3"/>
      <c r="HP34" s="2"/>
      <c r="HQ34" s="3"/>
      <c r="HS34" s="4"/>
      <c r="HU34" s="4"/>
      <c r="II34" s="4"/>
      <c r="IK34" s="4"/>
      <c r="IS34" s="2"/>
      <c r="IT34" s="2"/>
      <c r="IV34" s="2"/>
      <c r="JH34" s="2"/>
      <c r="JK34" s="4"/>
      <c r="JM34" s="4"/>
      <c r="JZ34" s="2"/>
      <c r="KD34" s="4"/>
      <c r="KJ34" s="4"/>
      <c r="KT34" s="2"/>
      <c r="KU34" s="2"/>
      <c r="KW34" s="2"/>
      <c r="LC34" s="2"/>
      <c r="LF34" s="2"/>
      <c r="LH34" s="3"/>
      <c r="LK34" s="2"/>
      <c r="LT34" s="4"/>
      <c r="LV34" s="4"/>
      <c r="NB34" s="2"/>
      <c r="NC34" s="2"/>
      <c r="NJ34" s="2"/>
      <c r="NN34" s="2"/>
      <c r="NO34" s="2"/>
      <c r="NT34" s="4"/>
      <c r="NV34" s="4"/>
      <c r="OA34" s="2"/>
      <c r="OB34" s="2"/>
      <c r="ON34" s="2"/>
      <c r="OR34" s="4"/>
      <c r="OT34" s="4"/>
      <c r="PD34" s="2"/>
      <c r="PH34" s="2"/>
      <c r="PI34" s="3"/>
      <c r="PQ34" s="2"/>
      <c r="PX34" s="2"/>
      <c r="PZ34" s="2"/>
      <c r="QH34" s="4"/>
      <c r="RA34" s="2"/>
      <c r="RM34" s="3"/>
      <c r="RO34" s="4"/>
      <c r="RR34" s="2"/>
      <c r="RT34" s="2"/>
      <c r="RU34" s="2"/>
      <c r="SA34" s="4"/>
      <c r="SN34" s="2"/>
      <c r="SQ34" s="4"/>
      <c r="TG34" s="2"/>
      <c r="TH34" s="2"/>
      <c r="TI34" s="2"/>
      <c r="TU34" s="4"/>
      <c r="TW34" s="4"/>
    </row>
    <row r="35" spans="1:543">
      <c r="A35">
        <v>767</v>
      </c>
      <c r="B35">
        <v>7930</v>
      </c>
      <c r="C35">
        <v>6106353421</v>
      </c>
      <c r="D35" t="s">
        <v>222</v>
      </c>
      <c r="E35" t="s">
        <v>223</v>
      </c>
      <c r="F35" t="s">
        <v>224</v>
      </c>
      <c r="G35" s="2">
        <v>40267</v>
      </c>
      <c r="H35" t="s">
        <v>30</v>
      </c>
      <c r="I35" t="s">
        <v>137</v>
      </c>
      <c r="J35" t="s">
        <v>32</v>
      </c>
      <c r="K35" t="s">
        <v>225</v>
      </c>
      <c r="L35" t="s">
        <v>95</v>
      </c>
      <c r="M35" s="2"/>
      <c r="N35" t="s">
        <v>226</v>
      </c>
      <c r="O35" s="2">
        <f>DATE(YEAR(G35) + P35, MONTH(G35), DAY(G35))</f>
        <v>64008</v>
      </c>
      <c r="P35">
        <v>65</v>
      </c>
      <c r="Q35" s="2">
        <v>40117</v>
      </c>
      <c r="R35" t="s">
        <v>36</v>
      </c>
      <c r="S35" t="s">
        <v>37</v>
      </c>
      <c r="T35" s="2">
        <v>27753</v>
      </c>
      <c r="U35" t="s">
        <v>103</v>
      </c>
      <c r="V35" t="s">
        <v>38</v>
      </c>
      <c r="W35">
        <v>22</v>
      </c>
      <c r="X35" s="1">
        <v>52454</v>
      </c>
      <c r="Y35" s="1">
        <v>10490.800000000001</v>
      </c>
      <c r="Z35" s="1">
        <v>41963.199999999997</v>
      </c>
      <c r="AA35" s="3">
        <v>1216</v>
      </c>
      <c r="AK35" s="3"/>
      <c r="AM35" s="4"/>
      <c r="BA35" s="2"/>
      <c r="BB35" s="2"/>
      <c r="BD35" s="4"/>
      <c r="BF35" s="4"/>
      <c r="BM35" s="2"/>
      <c r="BO35" s="4"/>
      <c r="BQ35" s="4"/>
      <c r="CI35" s="2"/>
      <c r="CJ35" s="2"/>
      <c r="CN35" s="2"/>
      <c r="CQ35" s="2"/>
      <c r="CV35" s="4"/>
      <c r="CZ35" s="3"/>
      <c r="DB35" s="2"/>
      <c r="DC35" s="2"/>
      <c r="DF35" s="2"/>
      <c r="DV35" s="2"/>
      <c r="DW35" s="2"/>
      <c r="EF35" s="4"/>
      <c r="EH35" s="4"/>
      <c r="ES35" s="2"/>
      <c r="EX35" s="4"/>
      <c r="EZ35" s="4"/>
      <c r="FQ35" s="4"/>
      <c r="FS35" s="4"/>
      <c r="GE35" s="2"/>
      <c r="GJ35" s="4"/>
      <c r="GL35" s="4"/>
      <c r="GR35" s="2"/>
      <c r="GS35" s="3"/>
      <c r="GT35" s="3"/>
      <c r="GV35" s="2"/>
      <c r="GW35" s="3"/>
      <c r="IK35" s="4"/>
      <c r="IS35" s="2"/>
      <c r="IT35" s="2"/>
      <c r="IV35" s="2"/>
      <c r="IW35" s="4"/>
      <c r="IY35" s="4"/>
      <c r="JH35" s="2"/>
      <c r="JM35" s="4"/>
      <c r="JZ35" s="2"/>
      <c r="KD35" s="4"/>
      <c r="KF35" s="4"/>
      <c r="KJ35" s="4"/>
      <c r="KT35" s="2"/>
      <c r="KU35" s="2"/>
      <c r="KW35" s="2"/>
      <c r="LC35" s="2"/>
      <c r="LF35" s="2"/>
      <c r="LK35" s="2"/>
      <c r="LT35" s="4"/>
      <c r="LV35" s="4"/>
      <c r="MC35" s="3"/>
      <c r="NB35" s="2"/>
      <c r="NC35" s="2"/>
      <c r="NJ35" s="2"/>
      <c r="NN35" s="2"/>
      <c r="NO35" s="2"/>
      <c r="NP35" s="3"/>
      <c r="NT35" s="4"/>
      <c r="NV35" s="4"/>
      <c r="OA35" s="2"/>
      <c r="OB35" s="2"/>
      <c r="ON35" s="2"/>
      <c r="OR35" s="4"/>
      <c r="OT35" s="4"/>
      <c r="PD35" s="2"/>
      <c r="PQ35" s="2"/>
      <c r="PX35" s="2"/>
      <c r="PZ35" s="2"/>
      <c r="QF35" s="4"/>
      <c r="QH35" s="4"/>
      <c r="QX35" s="3"/>
      <c r="QZ35" s="2"/>
      <c r="RA35" s="2"/>
      <c r="RN35" s="4"/>
      <c r="RO35" s="4"/>
      <c r="RR35" s="2"/>
      <c r="RT35" s="2"/>
      <c r="RU35" s="2"/>
      <c r="SA35" s="4"/>
      <c r="SC35" s="4"/>
      <c r="SN35" s="2"/>
      <c r="SQ35" s="4"/>
      <c r="SS35" s="4"/>
      <c r="TG35" s="2"/>
      <c r="TH35" s="2"/>
      <c r="TI35" s="2"/>
      <c r="TU35" s="4"/>
      <c r="TW35" s="4"/>
    </row>
    <row r="36" spans="1:543">
      <c r="A36">
        <v>8923</v>
      </c>
      <c r="B36">
        <v>8935</v>
      </c>
      <c r="C36" s="3" t="s">
        <v>227</v>
      </c>
      <c r="D36" t="s">
        <v>228</v>
      </c>
      <c r="E36" t="s">
        <v>229</v>
      </c>
      <c r="F36" t="s">
        <v>230</v>
      </c>
      <c r="G36" s="2">
        <v>39667</v>
      </c>
      <c r="H36" t="s">
        <v>43</v>
      </c>
      <c r="I36" t="s">
        <v>31</v>
      </c>
      <c r="J36" t="s">
        <v>61</v>
      </c>
      <c r="K36" t="s">
        <v>231</v>
      </c>
      <c r="L36" t="s">
        <v>77</v>
      </c>
      <c r="M36" s="2">
        <v>35063</v>
      </c>
      <c r="N36" t="s">
        <v>232</v>
      </c>
      <c r="O36" s="2">
        <f>DATE(YEAR(G36) + P36, MONTH(G36), DAY(G36))</f>
        <v>63773</v>
      </c>
      <c r="P36">
        <v>66</v>
      </c>
      <c r="Q36" s="2"/>
      <c r="R36" t="s">
        <v>47</v>
      </c>
      <c r="S36" t="s">
        <v>48</v>
      </c>
      <c r="T36" s="2">
        <v>34249</v>
      </c>
      <c r="U36" t="s">
        <v>65</v>
      </c>
      <c r="V36" t="s">
        <v>56</v>
      </c>
      <c r="W36">
        <v>22</v>
      </c>
      <c r="X36" s="1">
        <v>41697</v>
      </c>
      <c r="Y36" s="1">
        <v>8339.4</v>
      </c>
      <c r="Z36" s="1">
        <v>33357.599999999999</v>
      </c>
      <c r="AA36" s="3">
        <v>512</v>
      </c>
      <c r="AK36" s="3"/>
      <c r="AM36" s="4"/>
      <c r="AO36" s="4"/>
      <c r="BA36" s="2"/>
      <c r="BB36" s="2"/>
      <c r="BD36" s="4"/>
      <c r="BF36" s="4"/>
      <c r="BM36" s="2"/>
      <c r="BO36" s="4"/>
      <c r="CI36" s="2"/>
      <c r="CJ36" s="2"/>
      <c r="CN36" s="2"/>
      <c r="CQ36" s="2"/>
      <c r="CV36" s="4"/>
      <c r="CX36" s="4"/>
      <c r="DB36" s="2"/>
      <c r="DC36" s="2"/>
      <c r="DE36" s="2"/>
      <c r="DF36" s="2"/>
      <c r="DV36" s="2"/>
      <c r="DW36" s="2"/>
      <c r="EF36" s="4"/>
      <c r="EH36" s="4"/>
      <c r="ER36" s="2"/>
      <c r="ES36" s="2"/>
      <c r="EX36" s="4"/>
      <c r="EZ36" s="4"/>
      <c r="FQ36" s="4"/>
      <c r="FS36" s="4"/>
      <c r="GE36" s="2"/>
      <c r="GJ36" s="4"/>
      <c r="GL36" s="4"/>
      <c r="GR36" s="2"/>
      <c r="GV36" s="2"/>
      <c r="GY36" s="3"/>
      <c r="HB36" s="3"/>
      <c r="HP36" s="2"/>
      <c r="HU36" s="4"/>
      <c r="II36" s="4"/>
      <c r="IK36" s="4"/>
      <c r="IS36" s="2"/>
      <c r="IT36" s="2"/>
      <c r="IV36" s="2"/>
      <c r="IW36" s="4"/>
      <c r="IY36" s="4"/>
      <c r="JH36" s="2"/>
      <c r="JK36" s="4"/>
      <c r="JM36" s="4"/>
      <c r="JZ36" s="2"/>
      <c r="KD36" s="4"/>
      <c r="KF36" s="4"/>
      <c r="KJ36" s="4"/>
      <c r="KT36" s="2"/>
      <c r="KU36" s="2"/>
      <c r="KW36" s="2"/>
      <c r="LC36" s="2"/>
      <c r="LF36" s="2"/>
      <c r="LK36" s="2"/>
      <c r="LT36" s="4"/>
      <c r="LV36" s="4"/>
      <c r="NB36" s="2"/>
      <c r="NC36" s="2"/>
      <c r="NH36" s="3"/>
      <c r="NJ36" s="2"/>
      <c r="NN36" s="2"/>
      <c r="NT36" s="4"/>
      <c r="NV36" s="4"/>
      <c r="OA36" s="2"/>
      <c r="OB36" s="2"/>
      <c r="ON36" s="2"/>
      <c r="OR36" s="4"/>
      <c r="OT36" s="4"/>
      <c r="PD36" s="2"/>
      <c r="PH36" s="2"/>
      <c r="PK36" s="3"/>
      <c r="PQ36" s="2"/>
      <c r="PX36" s="2"/>
      <c r="PZ36" s="2"/>
      <c r="QF36" s="4"/>
      <c r="QH36" s="4"/>
      <c r="QZ36" s="2"/>
      <c r="RA36" s="2"/>
      <c r="RN36" s="4"/>
      <c r="RO36" s="4"/>
      <c r="RR36" s="2"/>
      <c r="RT36" s="2"/>
      <c r="RU36" s="2"/>
      <c r="SA36" s="4"/>
      <c r="SC36" s="4"/>
      <c r="SM36" s="3"/>
      <c r="SN36" s="2"/>
      <c r="SQ36" s="4"/>
      <c r="SS36" s="4"/>
      <c r="TG36" s="2"/>
      <c r="TH36" s="2"/>
      <c r="TI36" s="2"/>
      <c r="TN36" s="3"/>
      <c r="TU36" s="4"/>
      <c r="TW36" s="4"/>
    </row>
    <row r="37" spans="1:543">
      <c r="A37">
        <v>5327</v>
      </c>
      <c r="B37">
        <v>4754</v>
      </c>
      <c r="C37">
        <v>5673878387</v>
      </c>
      <c r="D37" t="s">
        <v>233</v>
      </c>
      <c r="E37" t="s">
        <v>234</v>
      </c>
      <c r="F37" t="s">
        <v>235</v>
      </c>
      <c r="G37" s="2"/>
      <c r="H37" t="s">
        <v>43</v>
      </c>
      <c r="I37" t="s">
        <v>236</v>
      </c>
      <c r="J37" t="s">
        <v>61</v>
      </c>
      <c r="K37" t="s">
        <v>237</v>
      </c>
      <c r="L37" t="s">
        <v>77</v>
      </c>
      <c r="M37" s="2">
        <v>34189</v>
      </c>
      <c r="N37" t="s">
        <v>238</v>
      </c>
      <c r="O37" s="2">
        <f>DATE(YEAR(G37) + P37, MONTH(G37), DAY(G37))</f>
        <v>22281</v>
      </c>
      <c r="P37">
        <v>61</v>
      </c>
      <c r="Q37" s="2">
        <v>42682</v>
      </c>
      <c r="R37" t="s">
        <v>36</v>
      </c>
      <c r="S37" t="s">
        <v>48</v>
      </c>
      <c r="T37" s="2">
        <v>45201</v>
      </c>
      <c r="U37" t="s">
        <v>38</v>
      </c>
      <c r="V37" t="s">
        <v>39</v>
      </c>
      <c r="W37">
        <v>26</v>
      </c>
      <c r="X37" s="1">
        <v>3604</v>
      </c>
      <c r="Y37" s="1">
        <v>720.80000000000007</v>
      </c>
      <c r="Z37" s="1">
        <v>2883.2</v>
      </c>
      <c r="AA37" s="3">
        <v>316</v>
      </c>
      <c r="AK37" s="3"/>
      <c r="AM37" s="4"/>
      <c r="AO37" s="4"/>
      <c r="BA37" s="2"/>
      <c r="BB37" s="2"/>
      <c r="BD37" s="4"/>
      <c r="BF37" s="4"/>
      <c r="BM37" s="2"/>
      <c r="BO37" s="4"/>
      <c r="BQ37" s="4"/>
      <c r="CI37" s="2"/>
      <c r="CJ37" s="2"/>
      <c r="CM37" s="3"/>
      <c r="CN37" s="2"/>
      <c r="CQ37" s="2"/>
      <c r="CV37" s="4"/>
      <c r="CX37" s="4"/>
      <c r="DB37" s="2"/>
      <c r="DC37" s="2"/>
      <c r="DE37" s="2"/>
      <c r="DF37" s="2"/>
      <c r="DW37" s="2"/>
      <c r="EF37" s="4"/>
      <c r="EH37" s="4"/>
      <c r="ER37" s="2"/>
      <c r="ES37" s="2"/>
      <c r="EX37" s="4"/>
      <c r="EZ37" s="4"/>
      <c r="FQ37" s="4"/>
      <c r="FS37" s="4"/>
      <c r="GD37" s="3"/>
      <c r="GE37" s="2"/>
      <c r="GG37" s="3"/>
      <c r="GJ37" s="4"/>
      <c r="GL37" s="4"/>
      <c r="GR37" s="2"/>
      <c r="GT37" s="3"/>
      <c r="GU37" s="3"/>
      <c r="GV37" s="2"/>
      <c r="GX37" s="3"/>
      <c r="HB37" s="3"/>
      <c r="HP37" s="2"/>
      <c r="HS37" s="4"/>
      <c r="HU37" s="4"/>
      <c r="II37" s="4"/>
      <c r="IK37" s="4"/>
      <c r="IS37" s="2"/>
      <c r="IT37" s="2"/>
      <c r="IV37" s="2"/>
      <c r="IW37" s="4"/>
      <c r="IY37" s="4"/>
      <c r="JH37" s="2"/>
      <c r="JM37" s="4"/>
      <c r="JZ37" s="2"/>
      <c r="KA37" s="3"/>
      <c r="KD37" s="4"/>
      <c r="KF37" s="4"/>
      <c r="KI37" s="3"/>
      <c r="KJ37" s="4"/>
      <c r="KT37" s="2"/>
      <c r="KU37" s="2"/>
      <c r="KW37" s="2"/>
      <c r="LC37" s="2"/>
      <c r="LF37" s="2"/>
      <c r="LK37" s="2"/>
      <c r="LT37" s="4"/>
      <c r="LV37" s="4"/>
      <c r="MI37" s="3"/>
      <c r="NB37" s="2"/>
      <c r="NC37" s="2"/>
      <c r="NJ37" s="2"/>
      <c r="NO37" s="2"/>
      <c r="NT37" s="4"/>
      <c r="NV37" s="4"/>
      <c r="OA37" s="2"/>
      <c r="OB37" s="2"/>
      <c r="ON37" s="2"/>
      <c r="OR37" s="4"/>
      <c r="PD37" s="2"/>
      <c r="PQ37" s="2"/>
      <c r="PX37" s="2"/>
      <c r="PZ37" s="2"/>
      <c r="QF37" s="4"/>
      <c r="QH37" s="4"/>
      <c r="QZ37" s="2"/>
      <c r="RA37" s="2"/>
      <c r="RN37" s="4"/>
      <c r="RO37" s="4"/>
      <c r="RR37" s="2"/>
      <c r="RT37" s="2"/>
      <c r="RU37" s="2"/>
      <c r="SA37" s="4"/>
      <c r="SC37" s="4"/>
      <c r="SN37" s="2"/>
      <c r="SQ37" s="4"/>
      <c r="SS37" s="4"/>
      <c r="TG37" s="2"/>
      <c r="TH37" s="2"/>
      <c r="TI37" s="2"/>
      <c r="TP37" s="3"/>
      <c r="TU37" s="4"/>
      <c r="TW37" s="4"/>
    </row>
    <row r="38" spans="1:543">
      <c r="A38">
        <v>5778</v>
      </c>
      <c r="B38">
        <v>4510</v>
      </c>
      <c r="C38">
        <v>4917801538</v>
      </c>
      <c r="D38" t="s">
        <v>72</v>
      </c>
      <c r="E38" t="s">
        <v>239</v>
      </c>
      <c r="F38" t="s">
        <v>240</v>
      </c>
      <c r="G38" s="2">
        <v>36738</v>
      </c>
      <c r="H38" t="s">
        <v>43</v>
      </c>
      <c r="I38" t="s">
        <v>70</v>
      </c>
      <c r="J38" t="s">
        <v>32</v>
      </c>
      <c r="K38" t="s">
        <v>241</v>
      </c>
      <c r="L38" t="s">
        <v>34</v>
      </c>
      <c r="M38" s="2"/>
      <c r="N38" t="s">
        <v>242</v>
      </c>
      <c r="O38" s="2">
        <f>DATE(YEAR(G38) + P38, MONTH(G38), DAY(G38))</f>
        <v>59018</v>
      </c>
      <c r="P38">
        <v>61</v>
      </c>
      <c r="Q38" s="2">
        <v>41908</v>
      </c>
      <c r="R38" t="s">
        <v>36</v>
      </c>
      <c r="S38" t="s">
        <v>181</v>
      </c>
      <c r="T38" s="2">
        <v>22677</v>
      </c>
      <c r="U38" t="s">
        <v>49</v>
      </c>
      <c r="V38" t="s">
        <v>38</v>
      </c>
      <c r="W38">
        <v>24</v>
      </c>
      <c r="X38" s="1">
        <v>38996</v>
      </c>
      <c r="Y38" s="1">
        <v>7799.2000000000007</v>
      </c>
      <c r="Z38" s="1">
        <v>31196.799999999999</v>
      </c>
      <c r="AA38" s="3">
        <v>1708</v>
      </c>
      <c r="AK38" s="3"/>
      <c r="AM38" s="4"/>
      <c r="AO38" s="4"/>
      <c r="BA38" s="2"/>
      <c r="BB38" s="2"/>
      <c r="BD38" s="4"/>
      <c r="BF38" s="4"/>
      <c r="BM38" s="2"/>
      <c r="BO38" s="4"/>
      <c r="BQ38" s="4"/>
      <c r="CI38" s="2"/>
      <c r="CJ38" s="2"/>
      <c r="CN38" s="2"/>
      <c r="CQ38" s="2"/>
      <c r="CV38" s="4"/>
      <c r="CX38" s="4"/>
      <c r="DB38" s="2"/>
      <c r="DC38" s="2"/>
      <c r="DE38" s="2"/>
      <c r="DV38" s="2"/>
      <c r="DW38" s="2"/>
      <c r="EF38" s="4"/>
      <c r="EH38" s="4"/>
      <c r="ER38" s="2"/>
      <c r="ES38" s="2"/>
      <c r="EX38" s="4"/>
      <c r="EZ38" s="4"/>
      <c r="FQ38" s="4"/>
      <c r="FS38" s="4"/>
      <c r="GE38" s="2"/>
      <c r="GJ38" s="4"/>
      <c r="GL38" s="4"/>
      <c r="GR38" s="2"/>
      <c r="GT38" s="3"/>
      <c r="GV38" s="2"/>
      <c r="GX38" s="3"/>
      <c r="HB38" s="3"/>
      <c r="HP38" s="2"/>
      <c r="HS38" s="4"/>
      <c r="HU38" s="4"/>
      <c r="IF38" s="3"/>
      <c r="II38" s="4"/>
      <c r="IK38" s="4"/>
      <c r="IS38" s="2"/>
      <c r="IT38" s="2"/>
      <c r="IV38" s="2"/>
      <c r="IW38" s="4"/>
      <c r="IY38" s="4"/>
      <c r="JH38" s="2"/>
      <c r="JK38" s="4"/>
      <c r="JM38" s="4"/>
      <c r="JZ38" s="2"/>
      <c r="KD38" s="4"/>
      <c r="KF38" s="4"/>
      <c r="KJ38" s="4"/>
      <c r="KU38" s="2"/>
      <c r="KW38" s="2"/>
      <c r="LC38" s="2"/>
      <c r="LF38" s="2"/>
      <c r="LK38" s="2"/>
      <c r="LT38" s="4"/>
      <c r="LV38" s="4"/>
      <c r="NB38" s="2"/>
      <c r="NC38" s="2"/>
      <c r="NJ38" s="2"/>
      <c r="NN38" s="2"/>
      <c r="NO38" s="2"/>
      <c r="NT38" s="4"/>
      <c r="NV38" s="4"/>
      <c r="OB38" s="2"/>
      <c r="OR38" s="4"/>
      <c r="OT38" s="4"/>
      <c r="PD38" s="2"/>
      <c r="PH38" s="2"/>
      <c r="PQ38" s="2"/>
      <c r="PX38" s="2"/>
      <c r="PZ38" s="2"/>
      <c r="QF38" s="4"/>
      <c r="QH38" s="4"/>
      <c r="QZ38" s="2"/>
      <c r="RA38" s="2"/>
      <c r="RN38" s="4"/>
      <c r="RO38" s="4"/>
      <c r="RR38" s="2"/>
      <c r="RT38" s="2"/>
      <c r="RU38" s="2"/>
      <c r="SA38" s="4"/>
      <c r="SC38" s="4"/>
      <c r="SM38" s="3"/>
      <c r="SN38" s="2"/>
      <c r="SS38" s="4"/>
      <c r="TG38" s="2"/>
      <c r="TH38" s="2"/>
      <c r="TI38" s="2"/>
      <c r="TU38" s="4"/>
      <c r="TW38" s="4"/>
    </row>
    <row r="39" spans="1:543">
      <c r="A39">
        <v>3609</v>
      </c>
      <c r="B39">
        <v>1366</v>
      </c>
      <c r="C39">
        <v>5410296920</v>
      </c>
      <c r="D39" t="s">
        <v>243</v>
      </c>
      <c r="E39" t="s">
        <v>244</v>
      </c>
      <c r="F39" t="s">
        <v>245</v>
      </c>
      <c r="G39" s="2">
        <v>29459</v>
      </c>
      <c r="H39" t="s">
        <v>43</v>
      </c>
      <c r="I39" t="s">
        <v>60</v>
      </c>
      <c r="J39" t="s">
        <v>32</v>
      </c>
      <c r="K39" t="s">
        <v>246</v>
      </c>
      <c r="L39" t="s">
        <v>34</v>
      </c>
      <c r="M39" s="2"/>
      <c r="N39" t="s">
        <v>247</v>
      </c>
      <c r="O39" s="2">
        <f>DATE(YEAR(G39) + P39, MONTH(G39), DAY(G39))</f>
        <v>52469</v>
      </c>
      <c r="P39">
        <v>63</v>
      </c>
      <c r="Q39" s="2"/>
      <c r="R39" t="s">
        <v>47</v>
      </c>
      <c r="S39" t="s">
        <v>109</v>
      </c>
      <c r="T39" s="2">
        <v>44897</v>
      </c>
      <c r="U39" t="s">
        <v>38</v>
      </c>
      <c r="V39" t="s">
        <v>38</v>
      </c>
      <c r="W39">
        <v>24</v>
      </c>
      <c r="X39" s="1">
        <v>17507</v>
      </c>
      <c r="Y39" s="1">
        <v>3501.4</v>
      </c>
      <c r="Z39" s="1">
        <v>14005.6</v>
      </c>
      <c r="AA39" s="3">
        <v>40</v>
      </c>
      <c r="AJ39" s="3"/>
      <c r="AK39" s="3"/>
      <c r="AM39" s="4"/>
      <c r="AO39" s="4"/>
      <c r="BA39" s="2"/>
      <c r="BB39" s="2"/>
      <c r="BD39" s="4"/>
      <c r="BF39" s="4"/>
      <c r="BM39" s="2"/>
      <c r="BO39" s="4"/>
      <c r="BQ39" s="4"/>
      <c r="CI39" s="2"/>
      <c r="CJ39" s="2"/>
      <c r="CN39" s="2"/>
      <c r="CQ39" s="2"/>
      <c r="CX39" s="4"/>
      <c r="DC39" s="2"/>
      <c r="DE39" s="2"/>
      <c r="DF39" s="2"/>
      <c r="DV39" s="2"/>
      <c r="DW39" s="2"/>
      <c r="EF39" s="4"/>
      <c r="EH39" s="4"/>
      <c r="ER39" s="2"/>
      <c r="ES39" s="2"/>
      <c r="EX39" s="4"/>
      <c r="EZ39" s="4"/>
      <c r="FQ39" s="4"/>
      <c r="FS39" s="4"/>
      <c r="GJ39" s="4"/>
      <c r="GL39" s="4"/>
      <c r="GR39" s="2"/>
      <c r="GT39" s="3"/>
      <c r="GU39" s="3"/>
      <c r="GV39" s="2"/>
      <c r="GX39" s="3"/>
      <c r="HP39" s="2"/>
      <c r="HS39" s="4"/>
      <c r="HU39" s="4"/>
      <c r="II39" s="4"/>
      <c r="IK39" s="4"/>
      <c r="IS39" s="2"/>
      <c r="IT39" s="2"/>
      <c r="IV39" s="2"/>
      <c r="IW39" s="4"/>
      <c r="IY39" s="4"/>
      <c r="JH39" s="2"/>
      <c r="JK39" s="4"/>
      <c r="JM39" s="4"/>
      <c r="JZ39" s="2"/>
      <c r="KD39" s="4"/>
      <c r="KF39" s="4"/>
      <c r="KJ39" s="4"/>
      <c r="KT39" s="2"/>
      <c r="KU39" s="2"/>
      <c r="LC39" s="2"/>
      <c r="LF39" s="2"/>
      <c r="LK39" s="2"/>
      <c r="LT39" s="4"/>
      <c r="LV39" s="4"/>
      <c r="ML39" s="3"/>
      <c r="MN39" s="5"/>
      <c r="NB39" s="2"/>
      <c r="NJ39" s="2"/>
      <c r="NN39" s="2"/>
      <c r="NO39" s="2"/>
      <c r="NT39" s="4"/>
      <c r="NV39" s="4"/>
      <c r="OA39" s="2"/>
      <c r="OB39" s="2"/>
      <c r="ON39" s="2"/>
      <c r="OR39" s="4"/>
      <c r="OT39" s="4"/>
      <c r="PD39" s="2"/>
      <c r="PH39" s="2"/>
      <c r="PQ39" s="2"/>
      <c r="PX39" s="2"/>
      <c r="PZ39" s="2"/>
      <c r="QF39" s="4"/>
      <c r="QH39" s="4"/>
      <c r="QJ39" s="3"/>
      <c r="QZ39" s="2"/>
      <c r="RA39" s="2"/>
      <c r="RN39" s="4"/>
      <c r="RO39" s="4"/>
      <c r="RR39" s="2"/>
      <c r="RT39" s="2"/>
      <c r="RU39" s="2"/>
      <c r="SA39" s="4"/>
      <c r="SC39" s="4"/>
      <c r="SQ39" s="4"/>
      <c r="SS39" s="4"/>
      <c r="TG39" s="2"/>
      <c r="TH39" s="2"/>
      <c r="TI39" s="2"/>
      <c r="TU39" s="4"/>
    </row>
    <row r="40" spans="1:543">
      <c r="A40">
        <v>5816</v>
      </c>
      <c r="B40">
        <v>3727</v>
      </c>
      <c r="C40" s="3" t="s">
        <v>248</v>
      </c>
      <c r="D40" t="s">
        <v>50</v>
      </c>
      <c r="E40" t="s">
        <v>249</v>
      </c>
      <c r="F40" t="s">
        <v>250</v>
      </c>
      <c r="G40" s="2">
        <v>26267</v>
      </c>
      <c r="H40" t="s">
        <v>30</v>
      </c>
      <c r="I40" t="s">
        <v>130</v>
      </c>
      <c r="J40" t="s">
        <v>32</v>
      </c>
      <c r="K40" t="s">
        <v>251</v>
      </c>
      <c r="L40" t="s">
        <v>77</v>
      </c>
      <c r="M40" s="2"/>
      <c r="N40" t="s">
        <v>252</v>
      </c>
      <c r="O40" s="2">
        <f>DATE(YEAR(G40) + P40, MONTH(G40), DAY(G40))</f>
        <v>48548</v>
      </c>
      <c r="P40">
        <v>61</v>
      </c>
      <c r="Q40" s="2"/>
      <c r="R40" t="s">
        <v>47</v>
      </c>
      <c r="S40" t="s">
        <v>48</v>
      </c>
      <c r="T40" s="2">
        <v>28412</v>
      </c>
      <c r="U40" t="s">
        <v>38</v>
      </c>
      <c r="V40" t="s">
        <v>39</v>
      </c>
      <c r="W40">
        <v>22</v>
      </c>
      <c r="X40" s="1">
        <v>24650</v>
      </c>
      <c r="Y40" s="1">
        <v>4930</v>
      </c>
      <c r="Z40" s="1">
        <v>19720</v>
      </c>
      <c r="AA40" s="3">
        <v>1062</v>
      </c>
      <c r="AK40" s="3"/>
      <c r="AM40" s="4"/>
      <c r="AO40" s="4"/>
      <c r="BA40" s="2"/>
      <c r="BB40" s="2"/>
      <c r="BD40" s="4"/>
      <c r="BF40" s="4"/>
      <c r="BM40" s="2"/>
      <c r="BO40" s="4"/>
      <c r="CI40" s="2"/>
      <c r="CN40" s="2"/>
      <c r="CQ40" s="2"/>
      <c r="CV40" s="4"/>
      <c r="CX40" s="4"/>
      <c r="DB40" s="2"/>
      <c r="DC40" s="2"/>
      <c r="DE40" s="2"/>
      <c r="DF40" s="2"/>
      <c r="DV40" s="2"/>
      <c r="DW40" s="2"/>
      <c r="EF40" s="4"/>
      <c r="EH40" s="4"/>
      <c r="ER40" s="2"/>
      <c r="ES40" s="2"/>
      <c r="EX40" s="4"/>
      <c r="EZ40" s="4"/>
      <c r="FQ40" s="4"/>
      <c r="FS40" s="4"/>
      <c r="GE40" s="2"/>
      <c r="GJ40" s="4"/>
      <c r="GL40" s="4"/>
      <c r="GR40" s="2"/>
      <c r="GS40" s="3"/>
      <c r="GV40" s="2"/>
      <c r="GX40" s="3"/>
      <c r="HP40" s="2"/>
      <c r="HS40" s="4"/>
      <c r="HU40" s="4"/>
      <c r="IK40" s="4"/>
      <c r="IS40" s="2"/>
      <c r="IT40" s="2"/>
      <c r="IV40" s="2"/>
      <c r="IW40" s="4"/>
      <c r="IY40" s="4"/>
      <c r="JH40" s="2"/>
      <c r="JK40" s="4"/>
      <c r="JM40" s="4"/>
      <c r="JZ40" s="2"/>
      <c r="KD40" s="4"/>
      <c r="KF40" s="4"/>
      <c r="KJ40" s="4"/>
      <c r="KT40" s="2"/>
      <c r="KU40" s="2"/>
      <c r="KW40" s="2"/>
      <c r="LC40" s="2"/>
      <c r="LF40" s="2"/>
      <c r="LK40" s="2"/>
      <c r="LT40" s="4"/>
      <c r="LV40" s="4"/>
      <c r="MA40" s="3"/>
      <c r="NB40" s="2"/>
      <c r="NC40" s="2"/>
      <c r="NJ40" s="2"/>
      <c r="NN40" s="2"/>
      <c r="NO40" s="2"/>
      <c r="NT40" s="4"/>
      <c r="NV40" s="4"/>
      <c r="OA40" s="2"/>
      <c r="OB40" s="2"/>
      <c r="ON40" s="2"/>
      <c r="OR40" s="4"/>
      <c r="OT40" s="4"/>
      <c r="PD40" s="2"/>
      <c r="PH40" s="2"/>
      <c r="PQ40" s="2"/>
      <c r="PX40" s="2"/>
      <c r="PZ40" s="2"/>
      <c r="QF40" s="4"/>
      <c r="QH40" s="4"/>
      <c r="QZ40" s="2"/>
      <c r="RA40" s="2"/>
      <c r="RN40" s="4"/>
      <c r="RO40" s="4"/>
      <c r="RR40" s="2"/>
      <c r="RT40" s="2"/>
      <c r="RU40" s="2"/>
      <c r="SA40" s="4"/>
      <c r="SC40" s="4"/>
      <c r="SN40" s="2"/>
      <c r="SQ40" s="4"/>
      <c r="SS40" s="4"/>
      <c r="TG40" s="2"/>
      <c r="TH40" s="2"/>
      <c r="TI40" s="2"/>
      <c r="TU40" s="4"/>
    </row>
    <row r="41" spans="1:543">
      <c r="A41">
        <v>6940</v>
      </c>
      <c r="B41">
        <v>7502</v>
      </c>
      <c r="C41">
        <v>1274139766</v>
      </c>
      <c r="D41" t="s">
        <v>253</v>
      </c>
      <c r="E41" t="s">
        <v>254</v>
      </c>
      <c r="F41" t="s">
        <v>255</v>
      </c>
      <c r="G41" s="2">
        <v>40451</v>
      </c>
      <c r="H41" t="s">
        <v>30</v>
      </c>
      <c r="I41" t="s">
        <v>236</v>
      </c>
      <c r="J41" t="s">
        <v>32</v>
      </c>
      <c r="K41" t="s">
        <v>256</v>
      </c>
      <c r="L41" t="s">
        <v>77</v>
      </c>
      <c r="N41" t="s">
        <v>257</v>
      </c>
      <c r="O41" s="2">
        <f>DATE(YEAR(G41) + P41, MONTH(G41), DAY(G41))</f>
        <v>64192</v>
      </c>
      <c r="P41">
        <v>65</v>
      </c>
      <c r="Q41" s="2"/>
      <c r="R41" t="s">
        <v>47</v>
      </c>
      <c r="S41" t="s">
        <v>181</v>
      </c>
      <c r="T41" s="2">
        <v>39450</v>
      </c>
      <c r="U41" t="s">
        <v>38</v>
      </c>
      <c r="V41" t="s">
        <v>38</v>
      </c>
      <c r="W41">
        <v>16</v>
      </c>
      <c r="X41" s="1">
        <v>46339</v>
      </c>
      <c r="Y41" s="1">
        <v>9267.8000000000011</v>
      </c>
      <c r="Z41" s="1">
        <v>37071.199999999997</v>
      </c>
      <c r="AA41" s="3">
        <v>1936</v>
      </c>
      <c r="AK41" s="3"/>
      <c r="AM41" s="4"/>
      <c r="AO41" s="4"/>
      <c r="BA41" s="2"/>
      <c r="BB41" s="2"/>
      <c r="BD41" s="4"/>
      <c r="BF41" s="4"/>
      <c r="BM41" s="2"/>
      <c r="BO41" s="4"/>
      <c r="BQ41" s="4"/>
      <c r="CI41" s="2"/>
      <c r="CJ41" s="2"/>
      <c r="CN41" s="2"/>
      <c r="CQ41" s="2"/>
      <c r="CV41" s="4"/>
      <c r="CX41" s="4"/>
      <c r="DB41" s="2"/>
      <c r="DC41" s="2"/>
      <c r="DE41" s="2"/>
      <c r="DF41" s="2"/>
      <c r="DG41" s="3"/>
      <c r="DV41" s="2"/>
      <c r="DW41" s="2"/>
      <c r="EF41" s="4"/>
      <c r="EH41" s="4"/>
      <c r="ER41" s="2"/>
      <c r="ES41" s="2"/>
      <c r="EX41" s="4"/>
      <c r="EZ41" s="4"/>
      <c r="FQ41" s="4"/>
      <c r="FS41" s="4"/>
      <c r="GE41" s="2"/>
      <c r="GJ41" s="4"/>
      <c r="GL41" s="4"/>
      <c r="GR41" s="2"/>
      <c r="GT41" s="3"/>
      <c r="GU41" s="3"/>
      <c r="GV41" s="2"/>
      <c r="HB41" s="3"/>
      <c r="HP41" s="2"/>
      <c r="HS41" s="4"/>
      <c r="HU41" s="4"/>
      <c r="II41" s="4"/>
      <c r="IK41" s="4"/>
      <c r="IS41" s="2"/>
      <c r="IT41" s="2"/>
      <c r="IV41" s="2"/>
      <c r="IW41" s="4"/>
      <c r="IY41" s="4"/>
      <c r="JH41" s="2"/>
      <c r="JK41" s="4"/>
      <c r="JM41" s="4"/>
      <c r="JZ41" s="2"/>
      <c r="KD41" s="4"/>
      <c r="KF41" s="4"/>
      <c r="KJ41" s="4"/>
      <c r="KT41" s="2"/>
      <c r="KU41" s="2"/>
      <c r="KW41" s="2"/>
      <c r="LC41" s="2"/>
      <c r="LF41" s="2"/>
      <c r="LK41" s="2"/>
      <c r="LT41" s="4"/>
      <c r="LV41" s="4"/>
      <c r="NB41" s="2"/>
      <c r="NC41" s="2"/>
      <c r="NJ41" s="2"/>
      <c r="NN41" s="2"/>
      <c r="NO41" s="2"/>
      <c r="NT41" s="4"/>
      <c r="NV41" s="4"/>
      <c r="OA41" s="2"/>
      <c r="OB41" s="2"/>
      <c r="ON41" s="2"/>
      <c r="OR41" s="4"/>
      <c r="OT41" s="4"/>
      <c r="PD41" s="2"/>
      <c r="PH41" s="2"/>
      <c r="PQ41" s="2"/>
      <c r="PX41" s="2"/>
      <c r="PZ41" s="2"/>
      <c r="QF41" s="4"/>
      <c r="QH41" s="4"/>
      <c r="QZ41" s="2"/>
      <c r="RA41" s="2"/>
      <c r="RN41" s="4"/>
      <c r="RO41" s="4"/>
      <c r="RT41" s="2"/>
      <c r="RU41" s="2"/>
      <c r="SA41" s="4"/>
      <c r="SC41" s="4"/>
      <c r="SN41" s="2"/>
      <c r="SQ41" s="4"/>
      <c r="SS41" s="4"/>
      <c r="TG41" s="2"/>
      <c r="TI41" s="2"/>
      <c r="TU41" s="4"/>
      <c r="TW41" s="4"/>
    </row>
    <row r="42" spans="1:543">
      <c r="A42">
        <v>4299</v>
      </c>
      <c r="B42">
        <v>1419</v>
      </c>
      <c r="C42">
        <v>6398808681</v>
      </c>
      <c r="D42" t="s">
        <v>134</v>
      </c>
      <c r="E42" t="s">
        <v>258</v>
      </c>
      <c r="F42" t="s">
        <v>259</v>
      </c>
      <c r="G42" s="2">
        <v>39787</v>
      </c>
      <c r="H42" t="s">
        <v>43</v>
      </c>
      <c r="I42" t="s">
        <v>260</v>
      </c>
      <c r="J42" t="s">
        <v>32</v>
      </c>
      <c r="K42" t="s">
        <v>261</v>
      </c>
      <c r="L42" t="s">
        <v>77</v>
      </c>
      <c r="M42" s="2"/>
      <c r="N42" t="s">
        <v>262</v>
      </c>
      <c r="O42" s="2">
        <f>DATE(YEAR(G42) + P42, MONTH(G42), DAY(G42))</f>
        <v>63528</v>
      </c>
      <c r="P42">
        <v>65</v>
      </c>
      <c r="Q42" s="2"/>
      <c r="R42" t="s">
        <v>47</v>
      </c>
      <c r="S42" t="s">
        <v>109</v>
      </c>
      <c r="T42" s="2">
        <v>40470</v>
      </c>
      <c r="U42" t="s">
        <v>38</v>
      </c>
      <c r="V42" t="s">
        <v>38</v>
      </c>
      <c r="W42">
        <v>17</v>
      </c>
      <c r="X42" s="1">
        <v>65416</v>
      </c>
      <c r="Y42" s="1">
        <v>13083.2</v>
      </c>
      <c r="Z42" s="1">
        <v>52332.800000000003</v>
      </c>
      <c r="AA42" s="3">
        <v>1690</v>
      </c>
      <c r="AK42" s="3"/>
      <c r="AM42" s="4"/>
      <c r="AO42" s="4"/>
      <c r="BA42" s="2"/>
      <c r="BB42" s="2"/>
      <c r="BD42" s="4"/>
      <c r="BF42" s="4"/>
      <c r="BM42" s="2"/>
      <c r="BO42" s="4"/>
      <c r="BQ42" s="4"/>
      <c r="CH42" s="3"/>
      <c r="CI42" s="2"/>
      <c r="CJ42" s="2"/>
      <c r="CN42" s="2"/>
      <c r="CP42" s="3"/>
      <c r="CQ42" s="2"/>
      <c r="CV42" s="4"/>
      <c r="DB42" s="2"/>
      <c r="DC42" s="2"/>
      <c r="DE42" s="2"/>
      <c r="DF42" s="2"/>
      <c r="DV42" s="2"/>
      <c r="DW42" s="2"/>
      <c r="EF42" s="4"/>
      <c r="EH42" s="4"/>
      <c r="ER42" s="2"/>
      <c r="ES42" s="2"/>
      <c r="EX42" s="4"/>
      <c r="EZ42" s="4"/>
      <c r="FQ42" s="4"/>
      <c r="FS42" s="4"/>
      <c r="GD42" s="3"/>
      <c r="GE42" s="2"/>
      <c r="GJ42" s="4"/>
      <c r="GL42" s="4"/>
      <c r="GR42" s="2"/>
      <c r="GT42" s="3"/>
      <c r="GU42" s="3"/>
      <c r="GV42" s="2"/>
      <c r="GY42" s="3"/>
      <c r="HB42" s="3"/>
      <c r="HP42" s="2"/>
      <c r="HS42" s="4"/>
      <c r="HU42" s="4"/>
      <c r="II42" s="4"/>
      <c r="IK42" s="4"/>
      <c r="IS42" s="2"/>
      <c r="IT42" s="2"/>
      <c r="IV42" s="2"/>
      <c r="IW42" s="4"/>
      <c r="IY42" s="4"/>
      <c r="JH42" s="2"/>
      <c r="JK42" s="4"/>
      <c r="JZ42" s="2"/>
      <c r="KD42" s="4"/>
      <c r="KF42" s="4"/>
      <c r="KJ42" s="4"/>
      <c r="KT42" s="2"/>
      <c r="KU42" s="2"/>
      <c r="KW42" s="2"/>
      <c r="LC42" s="2"/>
      <c r="LF42" s="2"/>
      <c r="LK42" s="2"/>
      <c r="LT42" s="4"/>
      <c r="LV42" s="4"/>
      <c r="MJ42" s="3"/>
      <c r="ML42" s="3"/>
      <c r="NB42" s="2"/>
      <c r="NC42" s="2"/>
      <c r="NJ42" s="2"/>
      <c r="NM42" s="3"/>
      <c r="NN42" s="2"/>
      <c r="NO42" s="2"/>
      <c r="NT42" s="4"/>
      <c r="NV42" s="4"/>
      <c r="OA42" s="2"/>
      <c r="OB42" s="2"/>
      <c r="ON42" s="2"/>
      <c r="OR42" s="4"/>
      <c r="OT42" s="4"/>
      <c r="PD42" s="2"/>
      <c r="PH42" s="2"/>
      <c r="PK42" s="3"/>
      <c r="PN42" s="3"/>
      <c r="PQ42" s="2"/>
      <c r="PX42" s="2"/>
      <c r="PZ42" s="2"/>
      <c r="QH42" s="4"/>
      <c r="QZ42" s="2"/>
      <c r="RA42" s="2"/>
      <c r="RN42" s="4"/>
      <c r="RO42" s="4"/>
      <c r="RR42" s="2"/>
      <c r="RT42" s="2"/>
      <c r="RU42" s="2"/>
      <c r="SA42" s="4"/>
      <c r="SC42" s="4"/>
      <c r="SN42" s="2"/>
      <c r="SQ42" s="4"/>
      <c r="SS42" s="4"/>
      <c r="TG42" s="2"/>
      <c r="TH42" s="2"/>
      <c r="TI42" s="2"/>
      <c r="TU42" s="4"/>
      <c r="TW42" s="4"/>
    </row>
    <row r="43" spans="1:543">
      <c r="A43">
        <v>289</v>
      </c>
      <c r="B43">
        <v>9863</v>
      </c>
      <c r="C43">
        <v>3262046702</v>
      </c>
      <c r="D43" t="s">
        <v>222</v>
      </c>
      <c r="E43" t="s">
        <v>263</v>
      </c>
      <c r="F43" t="s">
        <v>264</v>
      </c>
      <c r="G43" s="2">
        <v>40501</v>
      </c>
      <c r="H43" t="s">
        <v>43</v>
      </c>
      <c r="I43" t="s">
        <v>31</v>
      </c>
      <c r="J43" t="s">
        <v>32</v>
      </c>
      <c r="K43" t="s">
        <v>265</v>
      </c>
      <c r="L43" t="s">
        <v>77</v>
      </c>
      <c r="M43" s="2"/>
      <c r="N43" t="s">
        <v>266</v>
      </c>
      <c r="O43" s="2">
        <f>DATE(YEAR(G43) + P43, MONTH(G43), DAY(G43))</f>
        <v>62416</v>
      </c>
      <c r="P43">
        <v>60</v>
      </c>
      <c r="Q43" s="2"/>
      <c r="R43" t="s">
        <v>47</v>
      </c>
      <c r="S43" t="s">
        <v>64</v>
      </c>
      <c r="T43" s="2">
        <v>44135</v>
      </c>
      <c r="U43" t="s">
        <v>65</v>
      </c>
      <c r="V43" t="s">
        <v>56</v>
      </c>
      <c r="W43">
        <v>4</v>
      </c>
      <c r="X43" s="1">
        <v>45147</v>
      </c>
      <c r="Y43" s="1">
        <v>9029.4</v>
      </c>
      <c r="Z43" s="1">
        <v>36117.599999999999</v>
      </c>
      <c r="AA43" s="3">
        <v>1326</v>
      </c>
      <c r="AK43" s="3"/>
      <c r="AM43" s="4"/>
      <c r="AO43" s="4"/>
      <c r="BA43" s="2"/>
      <c r="BB43" s="2"/>
      <c r="BD43" s="4"/>
      <c r="BF43" s="4"/>
      <c r="BO43" s="4"/>
      <c r="BQ43" s="4"/>
      <c r="CI43" s="2"/>
      <c r="CJ43" s="2"/>
      <c r="CQ43" s="2"/>
      <c r="CV43" s="4"/>
      <c r="CX43" s="4"/>
      <c r="DB43" s="2"/>
      <c r="DC43" s="2"/>
      <c r="DD43" s="3"/>
      <c r="DE43" s="2"/>
      <c r="DF43" s="2"/>
      <c r="DV43" s="2"/>
      <c r="DW43" s="2"/>
      <c r="EF43" s="4"/>
      <c r="EH43" s="4"/>
      <c r="ER43" s="2"/>
      <c r="ES43" s="2"/>
      <c r="EU43" s="3"/>
      <c r="EX43" s="4"/>
      <c r="EZ43" s="4"/>
      <c r="FS43" s="4"/>
      <c r="GE43" s="2"/>
      <c r="GJ43" s="4"/>
      <c r="GL43" s="4"/>
      <c r="GU43" s="3"/>
      <c r="GV43" s="2"/>
      <c r="HB43" s="3"/>
      <c r="HN43" s="3"/>
      <c r="HP43" s="2"/>
      <c r="HS43" s="4"/>
      <c r="HU43" s="4"/>
      <c r="II43" s="4"/>
      <c r="IK43" s="4"/>
      <c r="IS43" s="2"/>
      <c r="IT43" s="2"/>
      <c r="IV43" s="2"/>
      <c r="IW43" s="4"/>
      <c r="JH43" s="2"/>
      <c r="JK43" s="4"/>
      <c r="JM43" s="4"/>
      <c r="JZ43" s="2"/>
      <c r="KD43" s="4"/>
      <c r="KF43" s="4"/>
      <c r="KI43" s="3"/>
      <c r="KJ43" s="4"/>
      <c r="KT43" s="2"/>
      <c r="KU43" s="2"/>
      <c r="KW43" s="2"/>
      <c r="LC43" s="2"/>
      <c r="LK43" s="2"/>
      <c r="LT43" s="4"/>
      <c r="LV43" s="4"/>
      <c r="NB43" s="2"/>
      <c r="NC43" s="2"/>
      <c r="NH43" s="3"/>
      <c r="NJ43" s="2"/>
      <c r="NM43" s="3"/>
      <c r="NN43" s="2"/>
      <c r="NO43" s="2"/>
      <c r="NT43" s="4"/>
      <c r="NV43" s="4"/>
      <c r="OA43" s="2"/>
      <c r="OB43" s="2"/>
      <c r="ON43" s="2"/>
      <c r="OT43" s="4"/>
      <c r="PH43" s="2"/>
      <c r="PQ43" s="2"/>
      <c r="PX43" s="2"/>
      <c r="PZ43" s="2"/>
      <c r="QF43" s="4"/>
      <c r="QH43" s="4"/>
      <c r="QZ43" s="2"/>
      <c r="RA43" s="2"/>
      <c r="RN43" s="4"/>
      <c r="RO43" s="4"/>
      <c r="RT43" s="2"/>
      <c r="RU43" s="2"/>
      <c r="SA43" s="4"/>
      <c r="SC43" s="4"/>
      <c r="SN43" s="2"/>
      <c r="SQ43" s="4"/>
      <c r="SS43" s="4"/>
      <c r="TG43" s="2"/>
      <c r="TH43" s="2"/>
      <c r="TU43" s="4"/>
      <c r="TW43" s="4"/>
    </row>
    <row r="44" spans="1:543">
      <c r="A44">
        <v>4758</v>
      </c>
      <c r="B44">
        <v>9960</v>
      </c>
      <c r="C44">
        <v>6040902025</v>
      </c>
      <c r="D44" t="s">
        <v>267</v>
      </c>
      <c r="E44" t="s">
        <v>268</v>
      </c>
      <c r="F44" t="s">
        <v>269</v>
      </c>
      <c r="G44" s="2">
        <v>24214</v>
      </c>
      <c r="H44" t="s">
        <v>43</v>
      </c>
      <c r="I44" t="s">
        <v>124</v>
      </c>
      <c r="J44" t="s">
        <v>61</v>
      </c>
      <c r="K44" t="s">
        <v>270</v>
      </c>
      <c r="L44" t="s">
        <v>77</v>
      </c>
      <c r="M44" s="2">
        <v>25354</v>
      </c>
      <c r="N44" t="s">
        <v>271</v>
      </c>
      <c r="O44" s="2">
        <f>DATE(YEAR(G44) + P44, MONTH(G44), DAY(G44))</f>
        <v>49782</v>
      </c>
      <c r="P44">
        <v>70</v>
      </c>
      <c r="Q44" s="2"/>
      <c r="R44" t="s">
        <v>47</v>
      </c>
      <c r="S44" t="s">
        <v>64</v>
      </c>
      <c r="T44" s="2">
        <v>40445</v>
      </c>
      <c r="U44" t="s">
        <v>65</v>
      </c>
      <c r="V44" t="s">
        <v>56</v>
      </c>
      <c r="W44">
        <v>3</v>
      </c>
      <c r="X44" s="1">
        <v>58223</v>
      </c>
      <c r="Y44" s="1">
        <v>11644.6</v>
      </c>
      <c r="Z44" s="1">
        <v>46578.400000000001</v>
      </c>
      <c r="AA44" s="3">
        <v>1548</v>
      </c>
      <c r="AK44" s="3"/>
      <c r="AM44" s="4"/>
      <c r="AO44" s="4"/>
      <c r="BA44" s="2"/>
      <c r="BB44" s="2"/>
      <c r="BD44" s="4"/>
      <c r="BF44" s="4"/>
      <c r="BM44" s="2"/>
      <c r="BO44" s="4"/>
      <c r="BQ44" s="4"/>
      <c r="CF44" s="3"/>
      <c r="CI44" s="2"/>
      <c r="CJ44" s="2"/>
      <c r="CN44" s="2"/>
      <c r="CQ44" s="2"/>
      <c r="CV44" s="4"/>
      <c r="CX44" s="4"/>
      <c r="DB44" s="2"/>
      <c r="DC44" s="2"/>
      <c r="DE44" s="2"/>
      <c r="DF44" s="2"/>
      <c r="DV44" s="2"/>
      <c r="DW44" s="2"/>
      <c r="EF44" s="4"/>
      <c r="EH44" s="4"/>
      <c r="ER44" s="2"/>
      <c r="ES44" s="2"/>
      <c r="EX44" s="4"/>
      <c r="EZ44" s="4"/>
      <c r="FQ44" s="4"/>
      <c r="FS44" s="4"/>
      <c r="GE44" s="2"/>
      <c r="GJ44" s="4"/>
      <c r="GL44" s="4"/>
      <c r="GR44" s="2"/>
      <c r="GV44" s="2"/>
      <c r="GX44" s="3"/>
      <c r="GY44" s="3"/>
      <c r="HP44" s="2"/>
      <c r="HS44" s="4"/>
      <c r="HU44" s="4"/>
      <c r="II44" s="4"/>
      <c r="IK44" s="4"/>
      <c r="IS44" s="2"/>
      <c r="IT44" s="2"/>
      <c r="IV44" s="2"/>
      <c r="IY44" s="4"/>
      <c r="JH44" s="2"/>
      <c r="JK44" s="4"/>
      <c r="JM44" s="4"/>
      <c r="JZ44" s="2"/>
      <c r="KD44" s="4"/>
      <c r="KF44" s="4"/>
      <c r="KJ44" s="4"/>
      <c r="KT44" s="2"/>
      <c r="KU44" s="2"/>
      <c r="KW44" s="2"/>
      <c r="LC44" s="2"/>
      <c r="LF44" s="2"/>
      <c r="LK44" s="2"/>
      <c r="LT44" s="4"/>
      <c r="LV44" s="4"/>
      <c r="NB44" s="2"/>
      <c r="NC44" s="2"/>
      <c r="NJ44" s="2"/>
      <c r="NN44" s="2"/>
      <c r="NO44" s="2"/>
      <c r="NT44" s="4"/>
      <c r="NV44" s="4"/>
      <c r="OA44" s="2"/>
      <c r="OB44" s="2"/>
      <c r="ON44" s="2"/>
      <c r="OR44" s="4"/>
      <c r="OT44" s="4"/>
      <c r="PD44" s="2"/>
      <c r="PH44" s="2"/>
      <c r="PQ44" s="2"/>
      <c r="PX44" s="2"/>
      <c r="PZ44" s="2"/>
      <c r="QF44" s="4"/>
      <c r="QH44" s="4"/>
      <c r="QZ44" s="2"/>
      <c r="RA44" s="2"/>
      <c r="RN44" s="4"/>
      <c r="RO44" s="4"/>
      <c r="RR44" s="2"/>
      <c r="RT44" s="2"/>
      <c r="RU44" s="2"/>
      <c r="SA44" s="4"/>
      <c r="SC44" s="4"/>
      <c r="SN44" s="2"/>
      <c r="SQ44" s="4"/>
      <c r="SS44" s="4"/>
      <c r="TG44" s="2"/>
      <c r="TH44" s="2"/>
      <c r="TI44" s="2"/>
      <c r="TU44" s="4"/>
      <c r="TW44" s="4"/>
    </row>
    <row r="45" spans="1:543">
      <c r="A45">
        <v>1413</v>
      </c>
      <c r="B45">
        <v>7121</v>
      </c>
      <c r="C45">
        <v>8505036333</v>
      </c>
      <c r="D45" t="s">
        <v>272</v>
      </c>
      <c r="E45" t="s">
        <v>273</v>
      </c>
      <c r="F45" t="s">
        <v>274</v>
      </c>
      <c r="G45" s="2">
        <v>40466</v>
      </c>
      <c r="H45" t="s">
        <v>43</v>
      </c>
      <c r="I45" t="s">
        <v>130</v>
      </c>
      <c r="J45" t="s">
        <v>61</v>
      </c>
      <c r="K45" t="s">
        <v>275</v>
      </c>
      <c r="L45" t="s">
        <v>77</v>
      </c>
      <c r="M45" s="2">
        <v>39029</v>
      </c>
      <c r="N45" t="s">
        <v>276</v>
      </c>
      <c r="O45" s="2">
        <f>DATE(YEAR(G45) + P45, MONTH(G45), DAY(G45))</f>
        <v>64207</v>
      </c>
      <c r="P45">
        <v>65</v>
      </c>
      <c r="Q45" s="2"/>
      <c r="R45" t="s">
        <v>47</v>
      </c>
      <c r="S45" t="s">
        <v>181</v>
      </c>
      <c r="T45" s="2">
        <v>23193</v>
      </c>
      <c r="U45" t="s">
        <v>38</v>
      </c>
      <c r="V45" t="s">
        <v>38</v>
      </c>
      <c r="W45">
        <v>7</v>
      </c>
      <c r="X45" s="1">
        <v>57648</v>
      </c>
      <c r="Y45" s="1">
        <v>11529.6</v>
      </c>
      <c r="Z45" s="1">
        <v>46118.400000000001</v>
      </c>
      <c r="AA45" s="3">
        <v>1242</v>
      </c>
      <c r="AK45" s="3"/>
      <c r="AM45" s="4"/>
      <c r="AO45" s="4"/>
      <c r="BA45" s="2"/>
      <c r="BB45" s="2"/>
      <c r="BD45" s="4"/>
      <c r="BF45" s="4"/>
      <c r="BM45" s="2"/>
      <c r="BQ45" s="4"/>
      <c r="CI45" s="2"/>
      <c r="CJ45" s="2"/>
      <c r="CN45" s="2"/>
      <c r="CQ45" s="2"/>
      <c r="CV45" s="4"/>
      <c r="CX45" s="4"/>
      <c r="DB45" s="2"/>
      <c r="DE45" s="2"/>
      <c r="DV45" s="2"/>
      <c r="DW45" s="2"/>
      <c r="DX45" s="3"/>
      <c r="EF45" s="4"/>
      <c r="EH45" s="4"/>
      <c r="ER45" s="2"/>
      <c r="ES45" s="2"/>
      <c r="EV45" s="3"/>
      <c r="EX45" s="4"/>
      <c r="EZ45" s="4"/>
      <c r="FQ45" s="4"/>
      <c r="FS45" s="4"/>
      <c r="GJ45" s="4"/>
      <c r="GL45" s="4"/>
      <c r="GR45" s="2"/>
      <c r="GS45" s="3"/>
      <c r="GU45" s="3"/>
      <c r="GV45" s="2"/>
      <c r="GW45" s="3"/>
      <c r="HB45" s="3"/>
      <c r="HP45" s="2"/>
      <c r="HS45" s="4"/>
      <c r="HU45" s="4"/>
      <c r="II45" s="4"/>
      <c r="IK45" s="4"/>
      <c r="IS45" s="2"/>
      <c r="IT45" s="2"/>
      <c r="IV45" s="2"/>
      <c r="IW45" s="4"/>
      <c r="IY45" s="4"/>
      <c r="JH45" s="2"/>
      <c r="JK45" s="4"/>
      <c r="JM45" s="4"/>
      <c r="JZ45" s="2"/>
      <c r="KD45" s="4"/>
      <c r="KF45" s="4"/>
      <c r="KJ45" s="4"/>
      <c r="KT45" s="2"/>
      <c r="KW45" s="2"/>
      <c r="LK45" s="2"/>
      <c r="LT45" s="4"/>
      <c r="LV45" s="4"/>
      <c r="LZ45" s="3"/>
      <c r="NC45" s="2"/>
      <c r="NG45" s="5"/>
      <c r="NJ45" s="2"/>
      <c r="NN45" s="2"/>
      <c r="NO45" s="2"/>
      <c r="NV45" s="4"/>
      <c r="OB45" s="2"/>
      <c r="OK45" s="3"/>
      <c r="ON45" s="2"/>
      <c r="OR45" s="4"/>
      <c r="OT45" s="4"/>
      <c r="PD45" s="2"/>
      <c r="PH45" s="2"/>
      <c r="PQ45" s="2"/>
      <c r="PX45" s="2"/>
      <c r="PZ45" s="2"/>
      <c r="QF45" s="4"/>
      <c r="QZ45" s="2"/>
      <c r="RA45" s="2"/>
      <c r="RN45" s="4"/>
      <c r="RO45" s="4"/>
      <c r="RT45" s="2"/>
      <c r="RU45" s="2"/>
      <c r="SA45" s="4"/>
      <c r="SM45" s="3"/>
      <c r="SN45" s="2"/>
      <c r="SQ45" s="4"/>
      <c r="SS45" s="4"/>
      <c r="TG45" s="2"/>
      <c r="TH45" s="2"/>
      <c r="TI45" s="2"/>
      <c r="TU45" s="4"/>
      <c r="TW45" s="4"/>
    </row>
    <row r="46" spans="1:543">
      <c r="A46">
        <v>3241</v>
      </c>
      <c r="B46">
        <v>7167</v>
      </c>
      <c r="C46">
        <v>3190186274</v>
      </c>
      <c r="D46" t="s">
        <v>208</v>
      </c>
      <c r="E46" t="s">
        <v>277</v>
      </c>
      <c r="F46" t="s">
        <v>278</v>
      </c>
      <c r="G46" s="2">
        <v>31290</v>
      </c>
      <c r="H46" t="s">
        <v>43</v>
      </c>
      <c r="I46" t="s">
        <v>279</v>
      </c>
      <c r="J46" t="s">
        <v>61</v>
      </c>
      <c r="K46" t="s">
        <v>280</v>
      </c>
      <c r="L46" t="s">
        <v>34</v>
      </c>
      <c r="M46" s="2">
        <v>30293</v>
      </c>
      <c r="N46" t="s">
        <v>281</v>
      </c>
      <c r="O46" s="2">
        <f>DATE(YEAR(G46) + P46, MONTH(G46), DAY(G46))</f>
        <v>54301</v>
      </c>
      <c r="P46">
        <v>63</v>
      </c>
      <c r="Q46" s="2"/>
      <c r="R46" t="s">
        <v>47</v>
      </c>
      <c r="S46" t="s">
        <v>48</v>
      </c>
      <c r="T46" s="2">
        <v>44334</v>
      </c>
      <c r="U46" t="s">
        <v>133</v>
      </c>
      <c r="V46" t="s">
        <v>38</v>
      </c>
      <c r="W46">
        <v>4</v>
      </c>
      <c r="X46" s="1">
        <v>48917</v>
      </c>
      <c r="Y46" s="1">
        <v>9783.4</v>
      </c>
      <c r="Z46" s="1">
        <v>39133.599999999999</v>
      </c>
      <c r="AA46" s="3">
        <v>1078</v>
      </c>
      <c r="AK46" s="3"/>
      <c r="AM46" s="4"/>
      <c r="AO46" s="4"/>
      <c r="BA46" s="2"/>
      <c r="BB46" s="2"/>
      <c r="BD46" s="4"/>
      <c r="BF46" s="4"/>
      <c r="BM46" s="2"/>
      <c r="BO46" s="4"/>
      <c r="BQ46" s="4"/>
      <c r="CF46" s="3"/>
      <c r="CI46" s="2"/>
      <c r="CJ46" s="2"/>
      <c r="CN46" s="2"/>
      <c r="CQ46" s="2"/>
      <c r="CX46" s="4"/>
      <c r="DA46" s="3"/>
      <c r="DB46" s="2"/>
      <c r="DD46" s="3"/>
      <c r="DE46" s="2"/>
      <c r="DF46" s="2"/>
      <c r="DV46" s="2"/>
      <c r="EF46" s="4"/>
      <c r="EH46" s="4"/>
      <c r="ER46" s="2"/>
      <c r="ES46" s="2"/>
      <c r="EZ46" s="4"/>
      <c r="FQ46" s="4"/>
      <c r="FS46" s="4"/>
      <c r="GE46" s="2"/>
      <c r="GG46" s="3"/>
      <c r="GJ46" s="4"/>
      <c r="GL46" s="4"/>
      <c r="GV46" s="2"/>
      <c r="GW46" s="3"/>
      <c r="GX46" s="3"/>
      <c r="GY46" s="3"/>
      <c r="HB46" s="3"/>
      <c r="HP46" s="2"/>
      <c r="HS46" s="4"/>
      <c r="II46" s="4"/>
      <c r="IK46" s="4"/>
      <c r="IS46" s="2"/>
      <c r="IT46" s="2"/>
      <c r="IV46" s="2"/>
      <c r="IW46" s="4"/>
      <c r="IY46" s="4"/>
      <c r="JK46" s="4"/>
      <c r="JM46" s="4"/>
      <c r="JZ46" s="2"/>
      <c r="KF46" s="4"/>
      <c r="KJ46" s="4"/>
      <c r="KU46" s="2"/>
      <c r="KW46" s="2"/>
      <c r="LC46" s="2"/>
      <c r="LF46" s="2"/>
      <c r="LK46" s="2"/>
      <c r="LM46" s="3"/>
      <c r="LT46" s="4"/>
      <c r="LV46" s="4"/>
      <c r="MA46" s="3"/>
      <c r="ML46" s="3"/>
      <c r="NB46" s="2"/>
      <c r="NC46" s="2"/>
      <c r="NJ46" s="2"/>
      <c r="NN46" s="2"/>
      <c r="NT46" s="4"/>
      <c r="NV46" s="4"/>
      <c r="OA46" s="2"/>
      <c r="OB46" s="2"/>
      <c r="ON46" s="2"/>
      <c r="OR46" s="4"/>
      <c r="PD46" s="2"/>
      <c r="PH46" s="2"/>
      <c r="PN46" s="3"/>
      <c r="PQ46" s="2"/>
      <c r="PX46" s="2"/>
      <c r="PZ46" s="2"/>
      <c r="QF46" s="4"/>
      <c r="QH46" s="4"/>
      <c r="QZ46" s="2"/>
      <c r="RA46" s="2"/>
      <c r="RN46" s="4"/>
      <c r="RO46" s="4"/>
      <c r="RR46" s="2"/>
      <c r="RT46" s="2"/>
      <c r="RU46" s="2"/>
      <c r="SA46" s="4"/>
      <c r="SN46" s="2"/>
      <c r="SQ46" s="4"/>
      <c r="SS46" s="4"/>
      <c r="TG46" s="2"/>
      <c r="TH46" s="2"/>
      <c r="TI46" s="2"/>
      <c r="TU46" s="4"/>
      <c r="TW46" s="4"/>
    </row>
    <row r="47" spans="1:543">
      <c r="A47">
        <v>4650</v>
      </c>
      <c r="B47">
        <v>4677</v>
      </c>
      <c r="C47">
        <v>4939813771</v>
      </c>
      <c r="D47" t="s">
        <v>282</v>
      </c>
      <c r="E47" t="s">
        <v>283</v>
      </c>
      <c r="F47" t="s">
        <v>284</v>
      </c>
      <c r="G47" s="2">
        <v>36592</v>
      </c>
      <c r="H47" t="s">
        <v>30</v>
      </c>
      <c r="I47" t="s">
        <v>143</v>
      </c>
      <c r="J47" t="s">
        <v>32</v>
      </c>
      <c r="K47" t="s">
        <v>285</v>
      </c>
      <c r="L47" t="s">
        <v>95</v>
      </c>
      <c r="M47" s="2"/>
      <c r="N47" t="s">
        <v>286</v>
      </c>
      <c r="O47" s="2">
        <f>DATE(YEAR(G47) + P47, MONTH(G47), DAY(G47))</f>
        <v>58507</v>
      </c>
      <c r="P47">
        <v>60</v>
      </c>
      <c r="Q47" s="2"/>
      <c r="R47" t="s">
        <v>47</v>
      </c>
      <c r="S47" t="s">
        <v>64</v>
      </c>
      <c r="T47" s="2">
        <v>30292</v>
      </c>
      <c r="U47" t="s">
        <v>65</v>
      </c>
      <c r="V47" t="s">
        <v>66</v>
      </c>
      <c r="W47">
        <v>3</v>
      </c>
      <c r="X47" s="1">
        <v>47373</v>
      </c>
      <c r="Y47" s="1">
        <v>9474.6</v>
      </c>
      <c r="Z47" s="1">
        <v>37898.400000000001</v>
      </c>
      <c r="AA47" s="3">
        <v>92</v>
      </c>
      <c r="AK47" s="3"/>
      <c r="AM47" s="4"/>
      <c r="AO47" s="4"/>
      <c r="BA47" s="2"/>
      <c r="BB47" s="2"/>
      <c r="BD47" s="4"/>
      <c r="BF47" s="4"/>
      <c r="BM47" s="2"/>
      <c r="BO47" s="4"/>
      <c r="BQ47" s="4"/>
      <c r="CI47" s="2"/>
      <c r="CJ47" s="2"/>
      <c r="CN47" s="2"/>
      <c r="CQ47" s="2"/>
      <c r="CV47" s="4"/>
      <c r="CX47" s="4"/>
      <c r="CZ47" s="3"/>
      <c r="DB47" s="2"/>
      <c r="DC47" s="2"/>
      <c r="DD47" s="3"/>
      <c r="DE47" s="2"/>
      <c r="DF47" s="2"/>
      <c r="DV47" s="2"/>
      <c r="DW47" s="2"/>
      <c r="DY47" s="3"/>
      <c r="EC47" s="3"/>
      <c r="EF47" s="4"/>
      <c r="EH47" s="4"/>
      <c r="ES47" s="2"/>
      <c r="EX47" s="4"/>
      <c r="EZ47" s="4"/>
      <c r="FQ47" s="4"/>
      <c r="FS47" s="4"/>
      <c r="GE47" s="2"/>
      <c r="GJ47" s="4"/>
      <c r="GL47" s="4"/>
      <c r="GR47" s="2"/>
      <c r="GT47" s="3"/>
      <c r="GU47" s="3"/>
      <c r="GV47" s="2"/>
      <c r="GX47" s="3"/>
      <c r="GY47" s="3"/>
      <c r="HB47" s="3"/>
      <c r="HP47" s="2"/>
      <c r="HS47" s="4"/>
      <c r="HU47" s="4"/>
      <c r="II47" s="4"/>
      <c r="IK47" s="4"/>
      <c r="IT47" s="2"/>
      <c r="IV47" s="2"/>
      <c r="IW47" s="4"/>
      <c r="IY47" s="4"/>
      <c r="JH47" s="2"/>
      <c r="JK47" s="4"/>
      <c r="JM47" s="4"/>
      <c r="JZ47" s="2"/>
      <c r="KD47" s="4"/>
      <c r="KJ47" s="4"/>
      <c r="KU47" s="2"/>
      <c r="KW47" s="2"/>
      <c r="LC47" s="2"/>
      <c r="LF47" s="2"/>
      <c r="LH47" s="3"/>
      <c r="LK47" s="2"/>
      <c r="LT47" s="4"/>
      <c r="LV47" s="4"/>
      <c r="ME47" s="3"/>
      <c r="NB47" s="2"/>
      <c r="NC47" s="2"/>
      <c r="NG47" s="5"/>
      <c r="NJ47" s="2"/>
      <c r="NN47" s="2"/>
      <c r="NO47" s="2"/>
      <c r="NT47" s="4"/>
      <c r="NV47" s="4"/>
      <c r="OA47" s="2"/>
      <c r="OB47" s="2"/>
      <c r="OK47" s="3"/>
      <c r="ON47" s="2"/>
      <c r="OR47" s="4"/>
      <c r="OT47" s="4"/>
      <c r="PD47" s="2"/>
      <c r="PH47" s="2"/>
      <c r="PX47" s="2"/>
      <c r="PZ47" s="2"/>
      <c r="QF47" s="4"/>
      <c r="QH47" s="4"/>
      <c r="QJ47" s="3"/>
      <c r="QZ47" s="2"/>
      <c r="RA47" s="2"/>
      <c r="RN47" s="4"/>
      <c r="RO47" s="4"/>
      <c r="RR47" s="2"/>
      <c r="RT47" s="2"/>
      <c r="RU47" s="2"/>
      <c r="SC47" s="4"/>
      <c r="SN47" s="2"/>
      <c r="SQ47" s="4"/>
      <c r="SS47" s="4"/>
      <c r="TG47" s="2"/>
      <c r="TH47" s="2"/>
      <c r="TI47" s="2"/>
      <c r="TO47" s="3"/>
      <c r="TU47" s="4"/>
      <c r="TW47" s="4"/>
    </row>
    <row r="48" spans="1:543">
      <c r="A48">
        <v>5939</v>
      </c>
      <c r="B48">
        <v>9913</v>
      </c>
      <c r="C48">
        <v>6195642508</v>
      </c>
      <c r="D48" t="s">
        <v>287</v>
      </c>
      <c r="E48" t="s">
        <v>288</v>
      </c>
      <c r="F48" t="s">
        <v>289</v>
      </c>
      <c r="G48" s="2">
        <v>40457</v>
      </c>
      <c r="H48" t="s">
        <v>30</v>
      </c>
      <c r="I48" t="s">
        <v>75</v>
      </c>
      <c r="J48" t="s">
        <v>32</v>
      </c>
      <c r="K48" t="s">
        <v>290</v>
      </c>
      <c r="L48" t="s">
        <v>77</v>
      </c>
      <c r="M48" s="2"/>
      <c r="N48" t="s">
        <v>291</v>
      </c>
      <c r="O48" s="2">
        <f>DATE(YEAR(G48) + P48, MONTH(G48), DAY(G48))</f>
        <v>63833</v>
      </c>
      <c r="P48">
        <v>64</v>
      </c>
      <c r="Q48" s="2"/>
      <c r="R48" t="s">
        <v>47</v>
      </c>
      <c r="S48" t="s">
        <v>37</v>
      </c>
      <c r="T48" s="2">
        <v>41424</v>
      </c>
      <c r="U48" t="s">
        <v>49</v>
      </c>
      <c r="V48" t="s">
        <v>39</v>
      </c>
      <c r="W48">
        <v>23</v>
      </c>
      <c r="X48" s="1">
        <v>12327</v>
      </c>
      <c r="Y48" s="1">
        <v>2465.4</v>
      </c>
      <c r="Z48" s="1">
        <v>9861.6</v>
      </c>
      <c r="AA48" s="3">
        <v>1410</v>
      </c>
      <c r="AK48" s="3"/>
      <c r="AM48" s="4"/>
      <c r="AO48" s="4"/>
      <c r="BA48" s="2"/>
      <c r="BB48" s="2"/>
      <c r="BD48" s="4"/>
      <c r="BF48" s="4"/>
      <c r="BM48" s="2"/>
      <c r="BO48" s="4"/>
      <c r="BQ48" s="4"/>
      <c r="CI48" s="2"/>
      <c r="CJ48" s="2"/>
      <c r="CN48" s="2"/>
      <c r="CQ48" s="2"/>
      <c r="CV48" s="4"/>
      <c r="CX48" s="4"/>
      <c r="DC48" s="2"/>
      <c r="DE48" s="2"/>
      <c r="DV48" s="2"/>
      <c r="DW48" s="2"/>
      <c r="DX48" s="3"/>
      <c r="EF48" s="4"/>
      <c r="EH48" s="4"/>
      <c r="ER48" s="2"/>
      <c r="EX48" s="4"/>
      <c r="EZ48" s="4"/>
      <c r="FQ48" s="4"/>
      <c r="FS48" s="4"/>
      <c r="GJ48" s="4"/>
      <c r="GR48" s="2"/>
      <c r="GU48" s="3"/>
      <c r="GV48" s="2"/>
      <c r="GW48" s="3"/>
      <c r="GX48" s="3"/>
      <c r="GY48" s="3"/>
      <c r="HO48" s="3"/>
      <c r="HP48" s="2"/>
      <c r="HS48" s="4"/>
      <c r="HU48" s="4"/>
      <c r="II48" s="4"/>
      <c r="IK48" s="4"/>
      <c r="IS48" s="2"/>
      <c r="IT48" s="2"/>
      <c r="IV48" s="2"/>
      <c r="IW48" s="4"/>
      <c r="IY48" s="4"/>
      <c r="JH48" s="2"/>
      <c r="JK48" s="4"/>
      <c r="JM48" s="4"/>
      <c r="JZ48" s="2"/>
      <c r="KD48" s="4"/>
      <c r="KF48" s="4"/>
      <c r="KI48" s="3"/>
      <c r="KT48" s="2"/>
      <c r="KU48" s="2"/>
      <c r="KW48" s="2"/>
      <c r="LC48" s="2"/>
      <c r="LF48" s="2"/>
      <c r="LK48" s="2"/>
      <c r="LT48" s="4"/>
      <c r="LV48" s="4"/>
      <c r="NB48" s="2"/>
      <c r="NC48" s="2"/>
      <c r="NJ48" s="2"/>
      <c r="NN48" s="2"/>
      <c r="NO48" s="2"/>
      <c r="NV48" s="4"/>
      <c r="OA48" s="2"/>
      <c r="OB48" s="2"/>
      <c r="ON48" s="2"/>
      <c r="OR48" s="4"/>
      <c r="PD48" s="2"/>
      <c r="PH48" s="2"/>
      <c r="PN48" s="3"/>
      <c r="PQ48" s="2"/>
      <c r="PX48" s="2"/>
      <c r="PZ48" s="2"/>
      <c r="QH48" s="4"/>
      <c r="QZ48" s="2"/>
      <c r="RA48" s="2"/>
      <c r="RN48" s="4"/>
      <c r="RO48" s="4"/>
      <c r="RR48" s="2"/>
      <c r="RT48" s="2"/>
      <c r="RU48" s="2"/>
      <c r="SN48" s="2"/>
      <c r="SQ48" s="4"/>
      <c r="SS48" s="4"/>
      <c r="TG48" s="2"/>
      <c r="TI48" s="2"/>
      <c r="TN48" s="3"/>
      <c r="TU48" s="4"/>
      <c r="TW48" s="4"/>
    </row>
    <row r="49" spans="1:543">
      <c r="A49">
        <v>1742</v>
      </c>
      <c r="B49">
        <v>2735</v>
      </c>
      <c r="C49">
        <v>2595364245</v>
      </c>
      <c r="D49" t="s">
        <v>172</v>
      </c>
      <c r="E49" t="s">
        <v>173</v>
      </c>
      <c r="F49" t="s">
        <v>174</v>
      </c>
      <c r="G49" s="2">
        <v>27304</v>
      </c>
      <c r="H49" t="s">
        <v>30</v>
      </c>
      <c r="I49" t="s">
        <v>70</v>
      </c>
      <c r="J49" t="s">
        <v>32</v>
      </c>
      <c r="K49" t="s">
        <v>292</v>
      </c>
      <c r="L49" t="s">
        <v>95</v>
      </c>
      <c r="M49" s="2"/>
      <c r="N49" t="s">
        <v>293</v>
      </c>
      <c r="O49" s="2">
        <f>DATE(YEAR(G49) + P49, MONTH(G49), DAY(G49))</f>
        <v>52141</v>
      </c>
      <c r="P49">
        <v>68</v>
      </c>
      <c r="Q49" s="2"/>
      <c r="R49" t="s">
        <v>47</v>
      </c>
      <c r="S49" t="s">
        <v>37</v>
      </c>
      <c r="T49" s="2">
        <v>28625</v>
      </c>
      <c r="U49" t="s">
        <v>65</v>
      </c>
      <c r="V49" t="s">
        <v>66</v>
      </c>
      <c r="W49">
        <v>13</v>
      </c>
      <c r="X49" s="1">
        <v>77396</v>
      </c>
      <c r="Y49" s="1">
        <v>15479.2</v>
      </c>
      <c r="Z49" s="1">
        <v>61916.800000000003</v>
      </c>
      <c r="AA49" s="3">
        <v>884</v>
      </c>
      <c r="AK49" s="3"/>
      <c r="AM49" s="4"/>
      <c r="AO49" s="4"/>
      <c r="BA49" s="2"/>
      <c r="BB49" s="2"/>
      <c r="BD49" s="4"/>
      <c r="BF49" s="4"/>
      <c r="BM49" s="2"/>
      <c r="BQ49" s="4"/>
      <c r="CJ49" s="2"/>
      <c r="CN49" s="2"/>
      <c r="CQ49" s="2"/>
      <c r="CV49" s="4"/>
      <c r="CX49" s="4"/>
      <c r="DB49" s="2"/>
      <c r="DC49" s="2"/>
      <c r="DD49" s="3"/>
      <c r="DE49" s="2"/>
      <c r="DF49" s="2"/>
      <c r="DV49" s="2"/>
      <c r="DW49" s="2"/>
      <c r="EF49" s="4"/>
      <c r="EH49" s="4"/>
      <c r="ER49" s="2"/>
      <c r="EX49" s="4"/>
      <c r="EZ49" s="4"/>
      <c r="FQ49" s="4"/>
      <c r="FS49" s="4"/>
      <c r="GE49" s="2"/>
      <c r="GJ49" s="4"/>
      <c r="GL49" s="4"/>
      <c r="GR49" s="2"/>
      <c r="GU49" s="3"/>
      <c r="GV49" s="2"/>
      <c r="HB49" s="3"/>
      <c r="HP49" s="2"/>
      <c r="HS49" s="4"/>
      <c r="HU49" s="4"/>
      <c r="II49" s="4"/>
      <c r="IK49" s="4"/>
      <c r="IS49" s="2"/>
      <c r="IV49" s="2"/>
      <c r="IW49" s="4"/>
      <c r="IY49" s="4"/>
      <c r="JH49" s="2"/>
      <c r="JK49" s="4"/>
      <c r="JM49" s="4"/>
      <c r="JZ49" s="2"/>
      <c r="KD49" s="4"/>
      <c r="KF49" s="4"/>
      <c r="KJ49" s="4"/>
      <c r="KT49" s="2"/>
      <c r="KU49" s="2"/>
      <c r="LC49" s="2"/>
      <c r="LF49" s="2"/>
      <c r="LK49" s="2"/>
      <c r="LT49" s="4"/>
      <c r="LV49" s="4"/>
      <c r="NB49" s="2"/>
      <c r="NC49" s="2"/>
      <c r="NJ49" s="2"/>
      <c r="NN49" s="2"/>
      <c r="NT49" s="4"/>
      <c r="OA49" s="2"/>
      <c r="OB49" s="2"/>
      <c r="ON49" s="2"/>
      <c r="OR49" s="4"/>
      <c r="OT49" s="4"/>
      <c r="PD49" s="2"/>
      <c r="PH49" s="2"/>
      <c r="PI49" s="3"/>
      <c r="PQ49" s="2"/>
      <c r="PX49" s="2"/>
      <c r="PY49" s="3"/>
      <c r="QH49" s="4"/>
      <c r="QZ49" s="2"/>
      <c r="RA49" s="2"/>
      <c r="RN49" s="4"/>
      <c r="RO49" s="4"/>
      <c r="RR49" s="2"/>
      <c r="RT49" s="2"/>
      <c r="SA49" s="4"/>
      <c r="SC49" s="4"/>
      <c r="SN49" s="2"/>
      <c r="SQ49" s="4"/>
      <c r="SS49" s="4"/>
      <c r="TG49" s="2"/>
      <c r="TH49" s="2"/>
      <c r="TI49" s="2"/>
      <c r="TU49" s="4"/>
      <c r="TW49" s="4"/>
    </row>
    <row r="50" spans="1:543">
      <c r="A50">
        <v>9752</v>
      </c>
      <c r="B50">
        <v>9127</v>
      </c>
      <c r="C50">
        <v>1328492197</v>
      </c>
      <c r="D50" t="s">
        <v>213</v>
      </c>
      <c r="E50" t="s">
        <v>294</v>
      </c>
      <c r="F50" t="s">
        <v>295</v>
      </c>
      <c r="G50" s="2">
        <v>24895</v>
      </c>
      <c r="H50" t="s">
        <v>30</v>
      </c>
      <c r="I50" t="s">
        <v>279</v>
      </c>
      <c r="J50" t="s">
        <v>32</v>
      </c>
      <c r="K50" t="s">
        <v>296</v>
      </c>
      <c r="L50" t="s">
        <v>34</v>
      </c>
      <c r="M50" s="2"/>
      <c r="N50" t="s">
        <v>297</v>
      </c>
      <c r="O50" s="2">
        <f>DATE(YEAR(G50) + P50, MONTH(G50), DAY(G50))</f>
        <v>49732</v>
      </c>
      <c r="P50">
        <v>68</v>
      </c>
      <c r="Q50" s="2"/>
      <c r="R50" t="s">
        <v>47</v>
      </c>
      <c r="S50" t="s">
        <v>181</v>
      </c>
      <c r="T50" s="2">
        <v>23041</v>
      </c>
      <c r="U50" t="s">
        <v>103</v>
      </c>
      <c r="V50" t="s">
        <v>38</v>
      </c>
      <c r="W50">
        <v>12</v>
      </c>
      <c r="X50" s="1">
        <v>35483</v>
      </c>
      <c r="Y50" s="1">
        <v>7096.6</v>
      </c>
      <c r="Z50" s="1">
        <v>28386.400000000001</v>
      </c>
      <c r="AA50" s="3">
        <v>1626</v>
      </c>
      <c r="AK50" s="3"/>
      <c r="AM50" s="4"/>
      <c r="AO50" s="4"/>
      <c r="BA50" s="2"/>
      <c r="BB50" s="2"/>
      <c r="BD50" s="4"/>
      <c r="BM50" s="2"/>
      <c r="BO50" s="4"/>
      <c r="BQ50" s="4"/>
      <c r="CI50" s="2"/>
      <c r="CJ50" s="2"/>
      <c r="CN50" s="2"/>
      <c r="CQ50" s="2"/>
      <c r="CV50" s="4"/>
      <c r="CX50" s="4"/>
      <c r="DB50" s="2"/>
      <c r="DC50" s="2"/>
      <c r="DE50" s="2"/>
      <c r="DF50" s="2"/>
      <c r="DV50" s="2"/>
      <c r="DW50" s="2"/>
      <c r="EF50" s="4"/>
      <c r="EH50" s="4"/>
      <c r="ER50" s="2"/>
      <c r="ES50" s="2"/>
      <c r="EU50" s="3"/>
      <c r="EX50" s="4"/>
      <c r="EZ50" s="4"/>
      <c r="FQ50" s="4"/>
      <c r="FS50" s="4"/>
      <c r="GE50" s="2"/>
      <c r="GJ50" s="4"/>
      <c r="GL50" s="4"/>
      <c r="GR50" s="2"/>
      <c r="GS50" s="3"/>
      <c r="GT50" s="3"/>
      <c r="GU50" s="3"/>
      <c r="GV50" s="2"/>
      <c r="GW50" s="3"/>
      <c r="HB50" s="3"/>
      <c r="HO50" s="3"/>
      <c r="HP50" s="2"/>
      <c r="HQ50" s="3"/>
      <c r="HS50" s="4"/>
      <c r="HU50" s="4"/>
      <c r="II50" s="4"/>
      <c r="IS50" s="2"/>
      <c r="IV50" s="2"/>
      <c r="IW50" s="4"/>
      <c r="IY50" s="4"/>
      <c r="JH50" s="2"/>
      <c r="JK50" s="4"/>
      <c r="JM50" s="4"/>
      <c r="JZ50" s="2"/>
      <c r="KD50" s="4"/>
      <c r="KF50" s="4"/>
      <c r="KJ50" s="4"/>
      <c r="KT50" s="2"/>
      <c r="KW50" s="2"/>
      <c r="LC50" s="2"/>
      <c r="LF50" s="2"/>
      <c r="LK50" s="2"/>
      <c r="LT50" s="4"/>
      <c r="LV50" s="4"/>
      <c r="MA50" s="3"/>
      <c r="NB50" s="2"/>
      <c r="NG50" s="5"/>
      <c r="NJ50" s="2"/>
      <c r="NN50" s="2"/>
      <c r="NO50" s="2"/>
      <c r="NV50" s="4"/>
      <c r="OA50" s="2"/>
      <c r="OB50" s="2"/>
      <c r="ON50" s="2"/>
      <c r="OR50" s="4"/>
      <c r="OT50" s="4"/>
      <c r="PD50" s="2"/>
      <c r="PH50" s="2"/>
      <c r="PQ50" s="2"/>
      <c r="PX50" s="2"/>
      <c r="PZ50" s="2"/>
      <c r="QF50" s="4"/>
      <c r="QH50" s="4"/>
      <c r="QX50" s="3"/>
      <c r="QZ50" s="2"/>
      <c r="RN50" s="4"/>
      <c r="RO50" s="4"/>
      <c r="RR50" s="2"/>
      <c r="RT50" s="2"/>
      <c r="RU50" s="2"/>
      <c r="SA50" s="4"/>
      <c r="SC50" s="4"/>
      <c r="SN50" s="2"/>
      <c r="SQ50" s="4"/>
      <c r="SS50" s="4"/>
      <c r="TG50" s="2"/>
      <c r="TH50" s="2"/>
      <c r="TI50" s="2"/>
      <c r="TP50" s="3"/>
      <c r="TW50" s="4"/>
    </row>
    <row r="51" spans="1:543">
      <c r="A51">
        <v>1086</v>
      </c>
      <c r="B51">
        <v>4275</v>
      </c>
      <c r="C51">
        <v>6741461373</v>
      </c>
      <c r="D51" t="s">
        <v>84</v>
      </c>
      <c r="E51" t="s">
        <v>298</v>
      </c>
      <c r="F51" t="s">
        <v>299</v>
      </c>
      <c r="G51" s="2">
        <v>30658</v>
      </c>
      <c r="H51" t="s">
        <v>30</v>
      </c>
      <c r="I51" t="s">
        <v>60</v>
      </c>
      <c r="J51" t="s">
        <v>32</v>
      </c>
      <c r="K51" t="s">
        <v>300</v>
      </c>
      <c r="L51" t="s">
        <v>34</v>
      </c>
      <c r="M51" s="2"/>
      <c r="N51" t="s">
        <v>301</v>
      </c>
      <c r="O51" s="2">
        <f>DATE(YEAR(G51) + P51, MONTH(G51), DAY(G51))</f>
        <v>52939</v>
      </c>
      <c r="P51">
        <v>61</v>
      </c>
      <c r="Q51" s="2"/>
      <c r="R51" t="s">
        <v>47</v>
      </c>
      <c r="S51" t="s">
        <v>102</v>
      </c>
      <c r="T51" s="2">
        <v>39446</v>
      </c>
      <c r="U51" t="s">
        <v>49</v>
      </c>
      <c r="V51" t="s">
        <v>38</v>
      </c>
      <c r="W51">
        <v>24</v>
      </c>
      <c r="X51" s="1">
        <v>78213</v>
      </c>
      <c r="Y51" s="1">
        <v>15642.6</v>
      </c>
      <c r="Z51" s="1">
        <v>62570.400000000001</v>
      </c>
      <c r="AA51" s="3">
        <v>556</v>
      </c>
      <c r="AJ51" s="3"/>
      <c r="AK51" s="3"/>
      <c r="AM51" s="4"/>
      <c r="AO51" s="4"/>
      <c r="BA51" s="2"/>
      <c r="BD51" s="4"/>
      <c r="BM51" s="2"/>
      <c r="BO51" s="4"/>
      <c r="BQ51" s="4"/>
      <c r="CH51" s="3"/>
      <c r="CI51" s="2"/>
      <c r="CJ51" s="2"/>
      <c r="CL51" s="3"/>
      <c r="CN51" s="2"/>
      <c r="CQ51" s="2"/>
      <c r="CV51" s="4"/>
      <c r="CX51" s="4"/>
      <c r="CZ51" s="3"/>
      <c r="DB51" s="2"/>
      <c r="DC51" s="2"/>
      <c r="DE51" s="2"/>
      <c r="DF51" s="2"/>
      <c r="DV51" s="2"/>
      <c r="DW51" s="2"/>
      <c r="EF51" s="4"/>
      <c r="ES51" s="2"/>
      <c r="EX51" s="4"/>
      <c r="EZ51" s="4"/>
      <c r="FQ51" s="4"/>
      <c r="FS51" s="4"/>
      <c r="GE51" s="2"/>
      <c r="GJ51" s="4"/>
      <c r="GL51" s="4"/>
      <c r="GR51" s="2"/>
      <c r="GS51" s="3"/>
      <c r="GU51" s="3"/>
      <c r="GV51" s="2"/>
      <c r="GW51" s="3"/>
      <c r="GX51" s="3"/>
      <c r="HB51" s="3"/>
      <c r="HN51" s="3"/>
      <c r="HP51" s="2"/>
      <c r="HS51" s="4"/>
      <c r="HU51" s="4"/>
      <c r="IF51" s="3"/>
      <c r="II51" s="4"/>
      <c r="IK51" s="4"/>
      <c r="IS51" s="2"/>
      <c r="IT51" s="2"/>
      <c r="IV51" s="2"/>
      <c r="IW51" s="4"/>
      <c r="IY51" s="4"/>
      <c r="JK51" s="4"/>
      <c r="JM51" s="4"/>
      <c r="JZ51" s="2"/>
      <c r="KD51" s="4"/>
      <c r="KF51" s="4"/>
      <c r="KJ51" s="4"/>
      <c r="KT51" s="2"/>
      <c r="KU51" s="2"/>
      <c r="KW51" s="2"/>
      <c r="LC51" s="2"/>
      <c r="LF51" s="2"/>
      <c r="LH51" s="3"/>
      <c r="LK51" s="2"/>
      <c r="LT51" s="4"/>
      <c r="LV51" s="4"/>
      <c r="NJ51" s="2"/>
      <c r="NN51" s="2"/>
      <c r="NO51" s="2"/>
      <c r="NT51" s="4"/>
      <c r="NV51" s="4"/>
      <c r="OA51" s="2"/>
      <c r="OB51" s="2"/>
      <c r="OJ51" s="3"/>
      <c r="ON51" s="2"/>
      <c r="OR51" s="4"/>
      <c r="OT51" s="4"/>
      <c r="PD51" s="2"/>
      <c r="PQ51" s="2"/>
      <c r="PX51" s="2"/>
      <c r="PZ51" s="2"/>
      <c r="QF51" s="4"/>
      <c r="QH51" s="4"/>
      <c r="QZ51" s="2"/>
      <c r="RA51" s="2"/>
      <c r="RN51" s="4"/>
      <c r="RO51" s="4"/>
      <c r="RR51" s="2"/>
      <c r="RT51" s="2"/>
      <c r="RU51" s="2"/>
      <c r="SA51" s="4"/>
      <c r="SC51" s="4"/>
      <c r="SN51" s="2"/>
      <c r="SQ51" s="4"/>
      <c r="SS51" s="4"/>
      <c r="TG51" s="2"/>
      <c r="TH51" s="2"/>
      <c r="TI51" s="2"/>
      <c r="TN51" s="3"/>
      <c r="TU51" s="4"/>
      <c r="TW51" s="4"/>
    </row>
    <row r="52" spans="1:543">
      <c r="A52">
        <v>6310</v>
      </c>
      <c r="B52">
        <v>9363</v>
      </c>
      <c r="C52">
        <v>2731911692</v>
      </c>
      <c r="D52" t="s">
        <v>287</v>
      </c>
      <c r="E52" t="s">
        <v>302</v>
      </c>
      <c r="F52" t="s">
        <v>303</v>
      </c>
      <c r="G52" s="2">
        <v>29930</v>
      </c>
      <c r="H52" t="s">
        <v>30</v>
      </c>
      <c r="I52" t="s">
        <v>279</v>
      </c>
      <c r="J52" t="s">
        <v>32</v>
      </c>
      <c r="K52" t="s">
        <v>304</v>
      </c>
      <c r="L52" t="s">
        <v>95</v>
      </c>
      <c r="M52" s="2"/>
      <c r="N52" t="s">
        <v>305</v>
      </c>
      <c r="O52" s="2">
        <f>DATE(YEAR(G52) + P52, MONTH(G52), DAY(G52))</f>
        <v>53306</v>
      </c>
      <c r="P52">
        <v>64</v>
      </c>
      <c r="Q52" s="2"/>
      <c r="R52" t="s">
        <v>47</v>
      </c>
      <c r="S52" t="s">
        <v>102</v>
      </c>
      <c r="T52" t="s">
        <v>306</v>
      </c>
      <c r="U52" t="s">
        <v>133</v>
      </c>
      <c r="V52" t="s">
        <v>56</v>
      </c>
      <c r="W52">
        <v>1</v>
      </c>
      <c r="X52" s="1">
        <v>18618</v>
      </c>
      <c r="Y52" s="1">
        <v>3723.6000000000004</v>
      </c>
      <c r="Z52" s="1">
        <v>14894.4</v>
      </c>
      <c r="AA52" s="3">
        <v>626</v>
      </c>
      <c r="AK52" s="3"/>
      <c r="AM52" s="4"/>
      <c r="AO52" s="4"/>
      <c r="BA52" s="2"/>
      <c r="BB52" s="2"/>
      <c r="BD52" s="4"/>
      <c r="BF52" s="4"/>
      <c r="BM52" s="2"/>
      <c r="BO52" s="4"/>
      <c r="BQ52" s="4"/>
      <c r="CJ52" s="2"/>
      <c r="CN52" s="2"/>
      <c r="CQ52" s="2"/>
      <c r="CV52" s="4"/>
      <c r="CX52" s="4"/>
      <c r="DB52" s="2"/>
      <c r="DC52" s="2"/>
      <c r="DE52" s="2"/>
      <c r="DF52" s="2"/>
      <c r="DV52" s="2"/>
      <c r="DW52" s="2"/>
      <c r="EF52" s="4"/>
      <c r="EH52" s="4"/>
      <c r="ER52" s="2"/>
      <c r="ES52" s="2"/>
      <c r="EX52" s="4"/>
      <c r="EZ52" s="4"/>
      <c r="FS52" s="4"/>
      <c r="GE52" s="2"/>
      <c r="GJ52" s="4"/>
      <c r="GL52" s="4"/>
      <c r="GR52" s="2"/>
      <c r="GT52" s="3"/>
      <c r="GV52" s="2"/>
      <c r="GX52" s="3"/>
      <c r="HB52" s="3"/>
      <c r="HP52" s="2"/>
      <c r="HU52" s="4"/>
      <c r="II52" s="4"/>
      <c r="IS52" s="2"/>
      <c r="IT52" s="2"/>
      <c r="IV52" s="2"/>
      <c r="IW52" s="4"/>
      <c r="IY52" s="4"/>
      <c r="JH52" s="2"/>
      <c r="JK52" s="4"/>
      <c r="JM52" s="4"/>
      <c r="JZ52" s="2"/>
      <c r="KD52" s="4"/>
      <c r="KF52" s="4"/>
      <c r="KJ52" s="4"/>
      <c r="KT52" s="2"/>
      <c r="KU52" s="2"/>
      <c r="KW52" s="2"/>
      <c r="LC52" s="2"/>
      <c r="LF52" s="2"/>
      <c r="LK52" s="2"/>
      <c r="LM52" s="3"/>
      <c r="LT52" s="4"/>
      <c r="LV52" s="4"/>
      <c r="MF52" s="3"/>
      <c r="NB52" s="2"/>
      <c r="NC52" s="2"/>
      <c r="NJ52" s="2"/>
      <c r="NO52" s="2"/>
      <c r="NT52" s="4"/>
      <c r="NV52" s="4"/>
      <c r="OA52" s="2"/>
      <c r="OB52" s="2"/>
      <c r="ON52" s="2"/>
      <c r="OR52" s="4"/>
      <c r="OT52" s="4"/>
      <c r="PD52" s="2"/>
      <c r="PH52" s="2"/>
      <c r="PQ52" s="2"/>
      <c r="PX52" s="2"/>
      <c r="PZ52" s="2"/>
      <c r="QF52" s="4"/>
      <c r="QH52" s="4"/>
      <c r="RA52" s="2"/>
      <c r="RN52" s="4"/>
      <c r="RO52" s="4"/>
      <c r="RR52" s="2"/>
      <c r="RT52" s="2"/>
      <c r="SA52" s="4"/>
      <c r="SC52" s="4"/>
      <c r="SN52" s="2"/>
      <c r="SQ52" s="4"/>
      <c r="SS52" s="4"/>
      <c r="TG52" s="2"/>
      <c r="TH52" s="2"/>
      <c r="TI52" s="2"/>
      <c r="TU52" s="4"/>
      <c r="TW52" s="4"/>
    </row>
    <row r="53" spans="1:543">
      <c r="A53">
        <v>7487</v>
      </c>
      <c r="B53">
        <v>5668</v>
      </c>
      <c r="C53">
        <v>5897222998</v>
      </c>
      <c r="D53" t="s">
        <v>40</v>
      </c>
      <c r="E53" t="s">
        <v>307</v>
      </c>
      <c r="F53" t="s">
        <v>308</v>
      </c>
      <c r="G53" s="2">
        <v>28490</v>
      </c>
      <c r="H53" t="s">
        <v>30</v>
      </c>
      <c r="I53" t="s">
        <v>130</v>
      </c>
      <c r="J53" t="s">
        <v>61</v>
      </c>
      <c r="K53" t="s">
        <v>309</v>
      </c>
      <c r="L53" t="s">
        <v>95</v>
      </c>
      <c r="M53" s="2">
        <v>37222</v>
      </c>
      <c r="N53" t="s">
        <v>310</v>
      </c>
      <c r="O53" s="2">
        <f>DATE(YEAR(G53) + P53, MONTH(G53), DAY(G53))</f>
        <v>52596</v>
      </c>
      <c r="P53">
        <v>66</v>
      </c>
      <c r="Q53" s="2">
        <v>45290</v>
      </c>
      <c r="R53" t="s">
        <v>36</v>
      </c>
      <c r="S53" t="s">
        <v>102</v>
      </c>
      <c r="T53" s="2">
        <v>42061</v>
      </c>
      <c r="U53" t="s">
        <v>38</v>
      </c>
      <c r="V53" t="s">
        <v>38</v>
      </c>
      <c r="W53">
        <v>25</v>
      </c>
      <c r="X53" s="1">
        <v>36730</v>
      </c>
      <c r="Y53" s="1">
        <v>7346</v>
      </c>
      <c r="Z53" s="1">
        <v>29384</v>
      </c>
      <c r="AA53" s="3">
        <v>1410</v>
      </c>
      <c r="AK53" s="3"/>
      <c r="AM53" s="4"/>
      <c r="AO53" s="4"/>
      <c r="BA53" s="2"/>
      <c r="BB53" s="2"/>
      <c r="BD53" s="4"/>
      <c r="BF53" s="4"/>
      <c r="BM53" s="2"/>
      <c r="BO53" s="4"/>
      <c r="BQ53" s="4"/>
      <c r="CG53" s="3"/>
      <c r="CI53" s="2"/>
      <c r="CJ53" s="2"/>
      <c r="CN53" s="2"/>
      <c r="CQ53" s="2"/>
      <c r="CX53" s="4"/>
      <c r="DA53" s="3"/>
      <c r="DB53" s="2"/>
      <c r="DC53" s="2"/>
      <c r="DE53" s="2"/>
      <c r="DV53" s="2"/>
      <c r="DW53" s="2"/>
      <c r="EF53" s="4"/>
      <c r="EH53" s="4"/>
      <c r="ER53" s="2"/>
      <c r="ES53" s="2"/>
      <c r="EX53" s="4"/>
      <c r="EZ53" s="4"/>
      <c r="FQ53" s="4"/>
      <c r="FS53" s="4"/>
      <c r="GE53" s="2"/>
      <c r="GJ53" s="4"/>
      <c r="GL53" s="4"/>
      <c r="GR53" s="2"/>
      <c r="GU53" s="3"/>
      <c r="GV53" s="2"/>
      <c r="GX53" s="3"/>
      <c r="GY53" s="3"/>
      <c r="HB53" s="3"/>
      <c r="HN53" s="3"/>
      <c r="HP53" s="2"/>
      <c r="HS53" s="4"/>
      <c r="HU53" s="4"/>
      <c r="II53" s="4"/>
      <c r="IK53" s="4"/>
      <c r="IS53" s="2"/>
      <c r="IT53" s="2"/>
      <c r="IV53" s="2"/>
      <c r="IW53" s="4"/>
      <c r="IY53" s="4"/>
      <c r="JH53" s="2"/>
      <c r="JK53" s="4"/>
      <c r="JM53" s="4"/>
      <c r="KD53" s="4"/>
      <c r="KF53" s="4"/>
      <c r="KJ53" s="4"/>
      <c r="KT53" s="2"/>
      <c r="KU53" s="2"/>
      <c r="KW53" s="2"/>
      <c r="LC53" s="2"/>
      <c r="LF53" s="2"/>
      <c r="LK53" s="2"/>
      <c r="LT53" s="4"/>
      <c r="LV53" s="4"/>
      <c r="MI53" s="3"/>
      <c r="NB53" s="2"/>
      <c r="NC53" s="2"/>
      <c r="NJ53" s="2"/>
      <c r="NO53" s="2"/>
      <c r="NT53" s="4"/>
      <c r="OA53" s="2"/>
      <c r="OB53" s="2"/>
      <c r="OR53" s="4"/>
      <c r="OT53" s="4"/>
      <c r="PD53" s="2"/>
      <c r="PH53" s="2"/>
      <c r="PQ53" s="2"/>
      <c r="PX53" s="2"/>
      <c r="PZ53" s="2"/>
      <c r="QF53" s="4"/>
      <c r="QH53" s="4"/>
      <c r="QZ53" s="2"/>
      <c r="RA53" s="2"/>
      <c r="RN53" s="4"/>
      <c r="RO53" s="4"/>
      <c r="RR53" s="2"/>
      <c r="RT53" s="2"/>
      <c r="RU53" s="2"/>
      <c r="SA53" s="4"/>
      <c r="SC53" s="4"/>
      <c r="SN53" s="2"/>
      <c r="SQ53" s="4"/>
      <c r="SS53" s="4"/>
      <c r="TG53" s="2"/>
      <c r="TH53" s="2"/>
      <c r="TI53" s="2"/>
      <c r="TU53" s="4"/>
      <c r="TW53" s="4"/>
    </row>
    <row r="54" spans="1:543">
      <c r="A54">
        <v>6152</v>
      </c>
      <c r="B54">
        <v>2288</v>
      </c>
      <c r="C54">
        <v>2260044965</v>
      </c>
      <c r="D54" t="s">
        <v>311</v>
      </c>
      <c r="E54" t="s">
        <v>312</v>
      </c>
      <c r="F54" t="s">
        <v>313</v>
      </c>
      <c r="G54" s="2">
        <v>40481</v>
      </c>
      <c r="H54" t="s">
        <v>43</v>
      </c>
      <c r="I54" t="s">
        <v>124</v>
      </c>
      <c r="J54" t="s">
        <v>61</v>
      </c>
      <c r="K54" t="s">
        <v>314</v>
      </c>
      <c r="L54" t="s">
        <v>95</v>
      </c>
      <c r="M54" s="2">
        <v>28702</v>
      </c>
      <c r="N54" t="s">
        <v>315</v>
      </c>
      <c r="O54" s="2">
        <f>DATE(YEAR(G54) + P54, MONTH(G54), DAY(G54))</f>
        <v>64588</v>
      </c>
      <c r="P54">
        <v>66</v>
      </c>
      <c r="Q54" s="2"/>
      <c r="R54" t="s">
        <v>47</v>
      </c>
      <c r="S54" t="s">
        <v>64</v>
      </c>
      <c r="T54" s="2">
        <v>42673</v>
      </c>
      <c r="U54" t="s">
        <v>38</v>
      </c>
      <c r="V54" t="s">
        <v>39</v>
      </c>
      <c r="W54">
        <v>17</v>
      </c>
      <c r="X54" s="1">
        <v>73770</v>
      </c>
      <c r="Y54" s="1">
        <v>14754</v>
      </c>
      <c r="Z54" s="1">
        <v>59016</v>
      </c>
      <c r="AA54" s="3">
        <v>776</v>
      </c>
      <c r="AK54" s="3"/>
      <c r="AM54" s="4"/>
      <c r="AO54" s="4"/>
      <c r="BA54" s="2"/>
      <c r="BB54" s="2"/>
      <c r="BD54" s="4"/>
      <c r="BF54" s="4"/>
      <c r="BM54" s="2"/>
      <c r="BO54" s="4"/>
      <c r="BQ54" s="4"/>
      <c r="CH54" s="3"/>
      <c r="CI54" s="2"/>
      <c r="CJ54" s="2"/>
      <c r="CN54" s="2"/>
      <c r="CX54" s="4"/>
      <c r="DB54" s="2"/>
      <c r="DC54" s="2"/>
      <c r="DE54" s="2"/>
      <c r="DF54" s="2"/>
      <c r="DV54" s="2"/>
      <c r="DW54" s="2"/>
      <c r="EF54" s="4"/>
      <c r="EH54" s="4"/>
      <c r="ER54" s="2"/>
      <c r="ES54" s="2"/>
      <c r="EZ54" s="4"/>
      <c r="FQ54" s="4"/>
      <c r="FS54" s="4"/>
      <c r="GE54" s="2"/>
      <c r="GJ54" s="4"/>
      <c r="GL54" s="4"/>
      <c r="GR54" s="2"/>
      <c r="GV54" s="2"/>
      <c r="GW54" s="3"/>
      <c r="GX54" s="3"/>
      <c r="GY54" s="3"/>
      <c r="HB54" s="3"/>
      <c r="HP54" s="2"/>
      <c r="HS54" s="4"/>
      <c r="HU54" s="4"/>
      <c r="II54" s="4"/>
      <c r="IK54" s="4"/>
      <c r="IS54" s="2"/>
      <c r="IT54" s="2"/>
      <c r="IV54" s="2"/>
      <c r="IW54" s="4"/>
      <c r="IY54" s="4"/>
      <c r="JH54" s="2"/>
      <c r="JK54" s="4"/>
      <c r="JM54" s="4"/>
      <c r="JZ54" s="2"/>
      <c r="KD54" s="4"/>
      <c r="KF54" s="4"/>
      <c r="KJ54" s="4"/>
      <c r="KT54" s="2"/>
      <c r="KU54" s="2"/>
      <c r="KW54" s="2"/>
      <c r="LC54" s="2"/>
      <c r="LF54" s="2"/>
      <c r="LK54" s="2"/>
      <c r="LT54" s="4"/>
      <c r="LV54" s="4"/>
      <c r="MB54" s="3"/>
      <c r="NB54" s="2"/>
      <c r="NC54" s="2"/>
      <c r="NG54" s="5"/>
      <c r="NJ54" s="2"/>
      <c r="NN54" s="2"/>
      <c r="NO54" s="2"/>
      <c r="NT54" s="4"/>
      <c r="NV54" s="4"/>
      <c r="OA54" s="2"/>
      <c r="ON54" s="2"/>
      <c r="OR54" s="4"/>
      <c r="OT54" s="4"/>
      <c r="PD54" s="2"/>
      <c r="PH54" s="2"/>
      <c r="PQ54" s="2"/>
      <c r="PX54" s="2"/>
      <c r="PZ54" s="2"/>
      <c r="QH54" s="4"/>
      <c r="QZ54" s="2"/>
      <c r="RA54" s="2"/>
      <c r="RN54" s="4"/>
      <c r="RO54" s="4"/>
      <c r="RR54" s="2"/>
      <c r="RT54" s="2"/>
      <c r="RU54" s="2"/>
      <c r="SA54" s="4"/>
      <c r="SN54" s="2"/>
      <c r="SQ54" s="4"/>
      <c r="SS54" s="4"/>
      <c r="TG54" s="2"/>
      <c r="TH54" s="2"/>
      <c r="TI54" s="2"/>
      <c r="TU54" s="4"/>
      <c r="TW54" s="4"/>
    </row>
    <row r="55" spans="1:543">
      <c r="A55">
        <v>6560</v>
      </c>
      <c r="B55">
        <v>7319</v>
      </c>
      <c r="C55">
        <v>3151650091</v>
      </c>
      <c r="D55" t="s">
        <v>316</v>
      </c>
      <c r="E55" t="s">
        <v>317</v>
      </c>
      <c r="F55" t="s">
        <v>318</v>
      </c>
      <c r="G55" s="2">
        <v>38352</v>
      </c>
      <c r="H55" t="s">
        <v>43</v>
      </c>
      <c r="I55" t="s">
        <v>44</v>
      </c>
      <c r="J55" t="s">
        <v>32</v>
      </c>
      <c r="K55" t="s">
        <v>319</v>
      </c>
      <c r="L55" t="s">
        <v>77</v>
      </c>
      <c r="N55" t="s">
        <v>320</v>
      </c>
      <c r="O55" s="2">
        <f>DATE(YEAR(G55) + P55, MONTH(G55), DAY(G55))</f>
        <v>60997</v>
      </c>
      <c r="P55">
        <v>62</v>
      </c>
      <c r="Q55" s="2"/>
      <c r="R55" t="s">
        <v>47</v>
      </c>
      <c r="S55" t="s">
        <v>48</v>
      </c>
      <c r="T55" s="2">
        <v>30677</v>
      </c>
      <c r="U55" t="s">
        <v>103</v>
      </c>
      <c r="V55" t="s">
        <v>38</v>
      </c>
      <c r="W55">
        <v>5</v>
      </c>
      <c r="X55" s="1">
        <v>79870</v>
      </c>
      <c r="Y55" s="1">
        <v>15974</v>
      </c>
      <c r="Z55" s="1">
        <v>63896</v>
      </c>
      <c r="AA55" s="3">
        <v>1854</v>
      </c>
      <c r="AK55" s="3"/>
      <c r="AM55" s="4"/>
      <c r="AO55" s="4"/>
      <c r="BA55" s="2"/>
      <c r="BB55" s="2"/>
      <c r="BD55" s="4"/>
      <c r="BF55" s="4"/>
      <c r="BM55" s="2"/>
      <c r="BO55" s="4"/>
      <c r="BQ55" s="4"/>
      <c r="CI55" s="2"/>
      <c r="CJ55" s="2"/>
      <c r="CK55" s="3"/>
      <c r="CN55" s="2"/>
      <c r="CQ55" s="2"/>
      <c r="CV55" s="4"/>
      <c r="CX55" s="4"/>
      <c r="DB55" s="2"/>
      <c r="DC55" s="2"/>
      <c r="DE55" s="2"/>
      <c r="DF55" s="2"/>
      <c r="DV55" s="2"/>
      <c r="DW55" s="2"/>
      <c r="EF55" s="4"/>
      <c r="EH55" s="4"/>
      <c r="ER55" s="2"/>
      <c r="ES55" s="2"/>
      <c r="EX55" s="4"/>
      <c r="EZ55" s="4"/>
      <c r="FQ55" s="4"/>
      <c r="GE55" s="2"/>
      <c r="GJ55" s="4"/>
      <c r="GL55" s="4"/>
      <c r="GR55" s="2"/>
      <c r="GS55" s="3"/>
      <c r="GT55" s="3"/>
      <c r="GU55" s="3"/>
      <c r="GV55" s="2"/>
      <c r="GW55" s="3"/>
      <c r="HB55" s="3"/>
      <c r="HO55" s="3"/>
      <c r="HP55" s="2"/>
      <c r="HU55" s="4"/>
      <c r="II55" s="4"/>
      <c r="IK55" s="4"/>
      <c r="IS55" s="2"/>
      <c r="IT55" s="2"/>
      <c r="IV55" s="2"/>
      <c r="IW55" s="4"/>
      <c r="IY55" s="4"/>
      <c r="JK55" s="4"/>
      <c r="JM55" s="4"/>
      <c r="JZ55" s="2"/>
      <c r="KD55" s="4"/>
      <c r="KF55" s="4"/>
      <c r="KJ55" s="4"/>
      <c r="KT55" s="2"/>
      <c r="KU55" s="2"/>
      <c r="KW55" s="2"/>
      <c r="LF55" s="2"/>
      <c r="LK55" s="2"/>
      <c r="LT55" s="4"/>
      <c r="LV55" s="4"/>
      <c r="NB55" s="2"/>
      <c r="NC55" s="2"/>
      <c r="NJ55" s="2"/>
      <c r="NM55" s="3"/>
      <c r="NN55" s="2"/>
      <c r="NO55" s="2"/>
      <c r="NT55" s="4"/>
      <c r="NV55" s="4"/>
      <c r="OA55" s="2"/>
      <c r="OB55" s="2"/>
      <c r="ON55" s="2"/>
      <c r="OR55" s="4"/>
      <c r="OT55" s="4"/>
      <c r="PD55" s="2"/>
      <c r="PQ55" s="2"/>
      <c r="PX55" s="2"/>
      <c r="PY55" s="3"/>
      <c r="PZ55" s="2"/>
      <c r="QF55" s="4"/>
      <c r="QH55" s="4"/>
      <c r="QZ55" s="2"/>
      <c r="RA55" s="2"/>
      <c r="RO55" s="4"/>
      <c r="RR55" s="2"/>
      <c r="RT55" s="2"/>
      <c r="RU55" s="2"/>
      <c r="SA55" s="4"/>
      <c r="SC55" s="4"/>
      <c r="SN55" s="2"/>
      <c r="SQ55" s="4"/>
      <c r="SS55" s="4"/>
      <c r="TG55" s="2"/>
      <c r="TH55" s="2"/>
      <c r="TI55" s="2"/>
      <c r="TN55" s="3"/>
      <c r="TU55" s="4"/>
      <c r="TW55" s="4"/>
    </row>
    <row r="56" spans="1:543">
      <c r="A56">
        <v>9668</v>
      </c>
      <c r="B56">
        <v>1895</v>
      </c>
      <c r="C56">
        <v>6057897601</v>
      </c>
      <c r="D56" t="s">
        <v>104</v>
      </c>
      <c r="E56" t="s">
        <v>321</v>
      </c>
      <c r="F56" t="s">
        <v>322</v>
      </c>
      <c r="G56" s="2">
        <v>38172</v>
      </c>
      <c r="H56" t="s">
        <v>43</v>
      </c>
      <c r="I56" t="s">
        <v>192</v>
      </c>
      <c r="J56" t="s">
        <v>61</v>
      </c>
      <c r="K56" t="s">
        <v>323</v>
      </c>
      <c r="L56" t="s">
        <v>95</v>
      </c>
      <c r="M56" s="2">
        <v>38934</v>
      </c>
      <c r="N56" t="s">
        <v>324</v>
      </c>
      <c r="O56" s="2">
        <f>DATE(YEAR(G56) + P56, MONTH(G56), DAY(G56))</f>
        <v>63009</v>
      </c>
      <c r="P56">
        <v>68</v>
      </c>
      <c r="Q56" s="2"/>
      <c r="R56" t="s">
        <v>47</v>
      </c>
      <c r="S56" t="s">
        <v>102</v>
      </c>
      <c r="T56" s="2">
        <v>30226</v>
      </c>
      <c r="U56" t="s">
        <v>133</v>
      </c>
      <c r="V56" t="s">
        <v>56</v>
      </c>
      <c r="W56">
        <v>12</v>
      </c>
      <c r="X56" s="1">
        <v>84794</v>
      </c>
      <c r="Y56" s="1">
        <v>16958.8</v>
      </c>
      <c r="Z56" s="1">
        <v>67835.199999999997</v>
      </c>
      <c r="AA56" s="3">
        <v>50</v>
      </c>
      <c r="AK56" s="3"/>
      <c r="AO56" s="4"/>
      <c r="BB56" s="2"/>
      <c r="BD56" s="4"/>
      <c r="BF56" s="4"/>
      <c r="BM56" s="2"/>
      <c r="BO56" s="4"/>
      <c r="BQ56" s="4"/>
      <c r="CI56" s="2"/>
      <c r="CJ56" s="2"/>
      <c r="CN56" s="2"/>
      <c r="CQ56" s="2"/>
      <c r="CV56" s="4"/>
      <c r="CX56" s="4"/>
      <c r="DC56" s="2"/>
      <c r="DE56" s="2"/>
      <c r="DF56" s="2"/>
      <c r="DV56" s="2"/>
      <c r="DW56" s="2"/>
      <c r="EF56" s="4"/>
      <c r="EH56" s="4"/>
      <c r="ER56" s="2"/>
      <c r="ES56" s="2"/>
      <c r="EX56" s="4"/>
      <c r="EZ56" s="4"/>
      <c r="FQ56" s="4"/>
      <c r="GD56" s="3"/>
      <c r="GE56" s="2"/>
      <c r="GJ56" s="4"/>
      <c r="GL56" s="4"/>
      <c r="GR56" s="2"/>
      <c r="GS56" s="3"/>
      <c r="GU56" s="3"/>
      <c r="GV56" s="2"/>
      <c r="GX56" s="3"/>
      <c r="GY56" s="3"/>
      <c r="HB56" s="3"/>
      <c r="HP56" s="2"/>
      <c r="HQ56" s="3"/>
      <c r="HS56" s="4"/>
      <c r="HU56" s="4"/>
      <c r="II56" s="4"/>
      <c r="IK56" s="4"/>
      <c r="IS56" s="2"/>
      <c r="IV56" s="2"/>
      <c r="IW56" s="4"/>
      <c r="IY56" s="4"/>
      <c r="JH56" s="2"/>
      <c r="JK56" s="4"/>
      <c r="JM56" s="4"/>
      <c r="JZ56" s="2"/>
      <c r="KD56" s="4"/>
      <c r="KF56" s="4"/>
      <c r="KT56" s="2"/>
      <c r="KU56" s="2"/>
      <c r="KW56" s="2"/>
      <c r="LC56" s="2"/>
      <c r="LF56" s="2"/>
      <c r="LK56" s="2"/>
      <c r="LT56" s="4"/>
      <c r="LV56" s="4"/>
      <c r="NB56" s="2"/>
      <c r="NC56" s="2"/>
      <c r="NJ56" s="2"/>
      <c r="NN56" s="2"/>
      <c r="NO56" s="2"/>
      <c r="NT56" s="4"/>
      <c r="NV56" s="4"/>
      <c r="OA56" s="2"/>
      <c r="OB56" s="2"/>
      <c r="ON56" s="2"/>
      <c r="OR56" s="4"/>
      <c r="OT56" s="4"/>
      <c r="PD56" s="2"/>
      <c r="PH56" s="2"/>
      <c r="PQ56" s="2"/>
      <c r="PX56" s="2"/>
      <c r="PZ56" s="2"/>
      <c r="QF56" s="4"/>
      <c r="QH56" s="4"/>
      <c r="QZ56" s="2"/>
      <c r="RA56" s="2"/>
      <c r="RN56" s="4"/>
      <c r="RO56" s="4"/>
      <c r="RR56" s="2"/>
      <c r="RT56" s="2"/>
      <c r="RU56" s="2"/>
      <c r="SA56" s="4"/>
      <c r="SC56" s="4"/>
      <c r="SN56" s="2"/>
      <c r="SS56" s="4"/>
      <c r="TG56" s="2"/>
      <c r="TH56" s="2"/>
      <c r="TI56" s="2"/>
      <c r="TU56" s="4"/>
      <c r="TW56" s="4"/>
    </row>
    <row r="57" spans="1:543">
      <c r="A57">
        <v>918</v>
      </c>
      <c r="B57">
        <v>6846</v>
      </c>
      <c r="C57">
        <v>7019246833</v>
      </c>
      <c r="D57" t="s">
        <v>287</v>
      </c>
      <c r="E57" t="s">
        <v>325</v>
      </c>
      <c r="F57" t="s">
        <v>326</v>
      </c>
      <c r="G57" s="2">
        <v>34272</v>
      </c>
      <c r="H57" t="s">
        <v>30</v>
      </c>
      <c r="I57" t="s">
        <v>130</v>
      </c>
      <c r="J57" t="s">
        <v>32</v>
      </c>
      <c r="K57" t="s">
        <v>327</v>
      </c>
      <c r="L57" t="s">
        <v>77</v>
      </c>
      <c r="M57" s="2"/>
      <c r="N57" t="s">
        <v>328</v>
      </c>
      <c r="O57" s="2">
        <f>DATE(YEAR(G57) + P57, MONTH(G57), DAY(G57))</f>
        <v>58378</v>
      </c>
      <c r="P57">
        <v>66</v>
      </c>
      <c r="Q57" s="2"/>
      <c r="R57" t="s">
        <v>47</v>
      </c>
      <c r="S57" t="s">
        <v>102</v>
      </c>
      <c r="T57" s="2">
        <v>44870</v>
      </c>
      <c r="U57" t="s">
        <v>103</v>
      </c>
      <c r="V57" t="s">
        <v>39</v>
      </c>
      <c r="W57">
        <v>14</v>
      </c>
      <c r="X57" s="1">
        <v>63414</v>
      </c>
      <c r="Y57" s="1">
        <v>12682.800000000001</v>
      </c>
      <c r="Z57" s="1">
        <v>50731.199999999997</v>
      </c>
      <c r="AA57" s="3">
        <v>1516</v>
      </c>
      <c r="AK57" s="3"/>
      <c r="AM57" s="4"/>
      <c r="AO57" s="4"/>
      <c r="BA57" s="2"/>
      <c r="BB57" s="2"/>
      <c r="BD57" s="4"/>
      <c r="BF57" s="4"/>
      <c r="BM57" s="2"/>
      <c r="BO57" s="4"/>
      <c r="CF57" s="3"/>
      <c r="CJ57" s="2"/>
      <c r="CK57" s="3"/>
      <c r="CN57" s="2"/>
      <c r="CQ57" s="2"/>
      <c r="CV57" s="4"/>
      <c r="CX57" s="4"/>
      <c r="DB57" s="2"/>
      <c r="DC57" s="2"/>
      <c r="DF57" s="2"/>
      <c r="DV57" s="2"/>
      <c r="DW57" s="2"/>
      <c r="EF57" s="4"/>
      <c r="EH57" s="4"/>
      <c r="ER57" s="2"/>
      <c r="ES57" s="2"/>
      <c r="EX57" s="4"/>
      <c r="EZ57" s="4"/>
      <c r="FQ57" s="4"/>
      <c r="FS57" s="4"/>
      <c r="GE57" s="2"/>
      <c r="GJ57" s="4"/>
      <c r="GL57" s="4"/>
      <c r="GR57" s="2"/>
      <c r="GS57" s="3"/>
      <c r="GT57" s="3"/>
      <c r="GU57" s="3"/>
      <c r="GV57" s="2"/>
      <c r="GY57" s="3"/>
      <c r="HB57" s="3"/>
      <c r="HN57" s="3"/>
      <c r="HP57" s="2"/>
      <c r="HS57" s="4"/>
      <c r="HU57" s="4"/>
      <c r="II57" s="4"/>
      <c r="IK57" s="4"/>
      <c r="IS57" s="2"/>
      <c r="IT57" s="2"/>
      <c r="IV57" s="2"/>
      <c r="IW57" s="4"/>
      <c r="IY57" s="4"/>
      <c r="JH57" s="2"/>
      <c r="JK57" s="4"/>
      <c r="JM57" s="4"/>
      <c r="JZ57" s="2"/>
      <c r="KD57" s="4"/>
      <c r="KF57" s="4"/>
      <c r="KJ57" s="4"/>
      <c r="KT57" s="2"/>
      <c r="KU57" s="2"/>
      <c r="KW57" s="2"/>
      <c r="LC57" s="2"/>
      <c r="LF57" s="2"/>
      <c r="LK57" s="2"/>
      <c r="LT57" s="4"/>
      <c r="LV57" s="4"/>
      <c r="MD57" s="3"/>
      <c r="NB57" s="2"/>
      <c r="NC57" s="2"/>
      <c r="NG57" s="5"/>
      <c r="NJ57" s="2"/>
      <c r="NN57" s="2"/>
      <c r="NO57" s="2"/>
      <c r="NP57" s="3"/>
      <c r="NT57" s="4"/>
      <c r="NV57" s="4"/>
      <c r="OA57" s="2"/>
      <c r="OB57" s="2"/>
      <c r="ON57" s="2"/>
      <c r="OR57" s="4"/>
      <c r="OT57" s="4"/>
      <c r="PD57" s="2"/>
      <c r="PH57" s="2"/>
      <c r="PQ57" s="2"/>
      <c r="PX57" s="2"/>
      <c r="PZ57" s="2"/>
      <c r="QF57" s="4"/>
      <c r="QH57" s="4"/>
      <c r="QX57" s="3"/>
      <c r="QZ57" s="2"/>
      <c r="RA57" s="2"/>
      <c r="RN57" s="4"/>
      <c r="RO57" s="4"/>
      <c r="RR57" s="2"/>
      <c r="RT57" s="2"/>
      <c r="RU57" s="2"/>
      <c r="SA57" s="4"/>
      <c r="SC57" s="4"/>
      <c r="SQ57" s="4"/>
      <c r="SS57" s="4"/>
      <c r="TG57" s="2"/>
      <c r="TH57" s="2"/>
      <c r="TI57" s="2"/>
      <c r="TU57" s="4"/>
      <c r="TW57" s="4"/>
    </row>
    <row r="58" spans="1:543">
      <c r="A58">
        <v>4999</v>
      </c>
      <c r="B58">
        <v>9426</v>
      </c>
      <c r="C58">
        <v>4484456084</v>
      </c>
      <c r="D58" t="s">
        <v>79</v>
      </c>
      <c r="E58" t="s">
        <v>329</v>
      </c>
      <c r="F58" t="s">
        <v>330</v>
      </c>
      <c r="G58" s="2">
        <v>38208</v>
      </c>
      <c r="H58" t="s">
        <v>30</v>
      </c>
      <c r="I58" t="s">
        <v>331</v>
      </c>
      <c r="J58" t="s">
        <v>32</v>
      </c>
      <c r="K58" t="s">
        <v>332</v>
      </c>
      <c r="L58" t="s">
        <v>34</v>
      </c>
      <c r="M58" s="2"/>
      <c r="N58" t="s">
        <v>333</v>
      </c>
      <c r="O58" s="2">
        <f>DATE(YEAR(G58) + P58, MONTH(G58), DAY(G58))</f>
        <v>63410</v>
      </c>
      <c r="P58">
        <v>69</v>
      </c>
      <c r="Q58" s="2"/>
      <c r="R58" t="s">
        <v>47</v>
      </c>
      <c r="S58" t="s">
        <v>102</v>
      </c>
      <c r="T58" s="2">
        <v>45778</v>
      </c>
      <c r="U58" t="s">
        <v>49</v>
      </c>
      <c r="V58" t="s">
        <v>39</v>
      </c>
      <c r="W58">
        <v>18</v>
      </c>
      <c r="X58" s="1">
        <v>56490</v>
      </c>
      <c r="Y58" s="1">
        <v>11298</v>
      </c>
      <c r="Z58" s="1">
        <v>45192</v>
      </c>
      <c r="AA58" s="3">
        <v>1748</v>
      </c>
      <c r="AK58" s="3"/>
      <c r="AM58" s="4"/>
      <c r="AO58" s="4"/>
      <c r="BA58" s="2"/>
      <c r="BB58" s="2"/>
      <c r="BD58" s="4"/>
      <c r="BF58" s="4"/>
      <c r="BM58" s="2"/>
      <c r="BO58" s="4"/>
      <c r="BQ58" s="4"/>
      <c r="CI58" s="2"/>
      <c r="CJ58" s="2"/>
      <c r="CM58" s="3"/>
      <c r="CN58" s="2"/>
      <c r="CQ58" s="2"/>
      <c r="CX58" s="4"/>
      <c r="DB58" s="2"/>
      <c r="DC58" s="2"/>
      <c r="DE58" s="2"/>
      <c r="DF58" s="2"/>
      <c r="DV58" s="2"/>
      <c r="DW58" s="2"/>
      <c r="EF58" s="4"/>
      <c r="EH58" s="4"/>
      <c r="ER58" s="2"/>
      <c r="EX58" s="4"/>
      <c r="EZ58" s="4"/>
      <c r="FQ58" s="4"/>
      <c r="FS58" s="4"/>
      <c r="GE58" s="2"/>
      <c r="GJ58" s="4"/>
      <c r="GL58" s="4"/>
      <c r="GR58" s="2"/>
      <c r="GV58" s="2"/>
      <c r="GY58" s="3"/>
      <c r="HB58" s="3"/>
      <c r="HN58" s="3"/>
      <c r="HP58" s="2"/>
      <c r="HS58" s="4"/>
      <c r="HU58" s="4"/>
      <c r="II58" s="4"/>
      <c r="IK58" s="4"/>
      <c r="IS58" s="2"/>
      <c r="IT58" s="2"/>
      <c r="IW58" s="4"/>
      <c r="IY58" s="4"/>
      <c r="JH58" s="2"/>
      <c r="JK58" s="4"/>
      <c r="JM58" s="4"/>
      <c r="JZ58" s="2"/>
      <c r="KD58" s="4"/>
      <c r="KF58" s="4"/>
      <c r="KI58" s="3"/>
      <c r="KJ58" s="4"/>
      <c r="KT58" s="2"/>
      <c r="KU58" s="2"/>
      <c r="KW58" s="2"/>
      <c r="LC58" s="2"/>
      <c r="LK58" s="2"/>
      <c r="LT58" s="4"/>
      <c r="NC58" s="2"/>
      <c r="NN58" s="2"/>
      <c r="NT58" s="4"/>
      <c r="NV58" s="4"/>
      <c r="OA58" s="2"/>
      <c r="OB58" s="2"/>
      <c r="ON58" s="2"/>
      <c r="OO58" s="3"/>
      <c r="OR58" s="4"/>
      <c r="OT58" s="4"/>
      <c r="PD58" s="2"/>
      <c r="PH58" s="2"/>
      <c r="PQ58" s="2"/>
      <c r="PX58" s="2"/>
      <c r="PZ58" s="2"/>
      <c r="QF58" s="4"/>
      <c r="QH58" s="4"/>
      <c r="QZ58" s="2"/>
      <c r="RA58" s="2"/>
      <c r="RN58" s="4"/>
      <c r="RO58" s="4"/>
      <c r="RR58" s="2"/>
      <c r="RT58" s="2"/>
      <c r="SC58" s="4"/>
      <c r="SN58" s="2"/>
      <c r="SQ58" s="4"/>
      <c r="SS58" s="4"/>
      <c r="TG58" s="2"/>
      <c r="TU58" s="4"/>
      <c r="TW58" s="4"/>
    </row>
    <row r="59" spans="1:543">
      <c r="A59">
        <v>7765</v>
      </c>
      <c r="B59">
        <v>1148</v>
      </c>
      <c r="C59">
        <v>7395966297</v>
      </c>
      <c r="D59" t="s">
        <v>233</v>
      </c>
      <c r="E59" t="s">
        <v>334</v>
      </c>
      <c r="F59" t="s">
        <v>335</v>
      </c>
      <c r="G59" s="2">
        <v>40529</v>
      </c>
      <c r="H59" t="s">
        <v>43</v>
      </c>
      <c r="I59" t="s">
        <v>70</v>
      </c>
      <c r="J59" t="s">
        <v>61</v>
      </c>
      <c r="K59" t="s">
        <v>336</v>
      </c>
      <c r="L59" t="s">
        <v>77</v>
      </c>
      <c r="M59" s="2">
        <v>23844</v>
      </c>
      <c r="N59" t="s">
        <v>337</v>
      </c>
      <c r="O59" s="2">
        <f>DATE(YEAR(G59) + P59, MONTH(G59), DAY(G59))</f>
        <v>65731</v>
      </c>
      <c r="P59">
        <v>69</v>
      </c>
      <c r="Q59" s="2">
        <v>43754</v>
      </c>
      <c r="R59" t="s">
        <v>36</v>
      </c>
      <c r="S59" t="s">
        <v>181</v>
      </c>
      <c r="T59" s="2">
        <v>45658</v>
      </c>
      <c r="U59" t="s">
        <v>38</v>
      </c>
      <c r="V59" t="s">
        <v>39</v>
      </c>
      <c r="W59">
        <v>23</v>
      </c>
      <c r="X59" s="1">
        <v>42187</v>
      </c>
      <c r="Y59" s="1">
        <v>8437.4</v>
      </c>
      <c r="Z59" s="1">
        <v>33749.599999999999</v>
      </c>
      <c r="AA59" s="3">
        <v>118</v>
      </c>
      <c r="AK59" s="3"/>
      <c r="AM59" s="4"/>
      <c r="BA59" s="2"/>
      <c r="BB59" s="2"/>
      <c r="BD59" s="4"/>
      <c r="BF59" s="4"/>
      <c r="BM59" s="2"/>
      <c r="BO59" s="4"/>
      <c r="BQ59" s="4"/>
      <c r="CI59" s="2"/>
      <c r="CJ59" s="2"/>
      <c r="CN59" s="2"/>
      <c r="CQ59" s="2"/>
      <c r="CV59" s="4"/>
      <c r="CX59" s="4"/>
      <c r="DB59" s="2"/>
      <c r="DC59" s="2"/>
      <c r="DE59" s="2"/>
      <c r="DF59" s="2"/>
      <c r="DV59" s="2"/>
      <c r="DW59" s="2"/>
      <c r="EH59" s="4"/>
      <c r="ER59" s="2"/>
      <c r="ES59" s="2"/>
      <c r="EU59" s="3"/>
      <c r="EX59" s="4"/>
      <c r="EZ59" s="4"/>
      <c r="FQ59" s="4"/>
      <c r="FS59" s="4"/>
      <c r="GE59" s="2"/>
      <c r="GJ59" s="4"/>
      <c r="GL59" s="4"/>
      <c r="GR59" s="2"/>
      <c r="GV59" s="2"/>
      <c r="GW59" s="3"/>
      <c r="GX59" s="3"/>
      <c r="GY59" s="3"/>
      <c r="HP59" s="2"/>
      <c r="HS59" s="4"/>
      <c r="HU59" s="4"/>
      <c r="IF59" s="3"/>
      <c r="II59" s="4"/>
      <c r="IK59" s="4"/>
      <c r="IS59" s="2"/>
      <c r="IT59" s="2"/>
      <c r="IV59" s="2"/>
      <c r="IW59" s="4"/>
      <c r="IY59" s="4"/>
      <c r="JK59" s="4"/>
      <c r="JM59" s="4"/>
      <c r="JZ59" s="2"/>
      <c r="KC59" s="3"/>
      <c r="KD59" s="4"/>
      <c r="KF59" s="4"/>
      <c r="KJ59" s="4"/>
      <c r="KT59" s="2"/>
      <c r="KU59" s="2"/>
      <c r="KW59" s="2"/>
      <c r="LC59" s="2"/>
      <c r="LF59" s="2"/>
      <c r="LK59" s="2"/>
      <c r="LT59" s="4"/>
      <c r="MF59" s="3"/>
      <c r="NB59" s="2"/>
      <c r="NC59" s="2"/>
      <c r="NJ59" s="2"/>
      <c r="NN59" s="2"/>
      <c r="NO59" s="2"/>
      <c r="NT59" s="4"/>
      <c r="NV59" s="4"/>
      <c r="OA59" s="2"/>
      <c r="OB59" s="2"/>
      <c r="ON59" s="2"/>
      <c r="OR59" s="4"/>
      <c r="OT59" s="4"/>
      <c r="PD59" s="2"/>
      <c r="PH59" s="2"/>
      <c r="PQ59" s="2"/>
      <c r="PX59" s="2"/>
      <c r="PZ59" s="2"/>
      <c r="QF59" s="4"/>
      <c r="QH59" s="4"/>
      <c r="QZ59" s="2"/>
      <c r="RA59" s="2"/>
      <c r="RN59" s="4"/>
      <c r="RO59" s="4"/>
      <c r="RR59" s="2"/>
      <c r="RT59" s="2"/>
      <c r="RU59" s="2"/>
      <c r="SA59" s="4"/>
      <c r="SC59" s="4"/>
      <c r="SQ59" s="4"/>
      <c r="SS59" s="4"/>
      <c r="TG59" s="2"/>
      <c r="TH59" s="2"/>
      <c r="TI59" s="2"/>
      <c r="TO59" s="3"/>
      <c r="TU59" s="4"/>
      <c r="TW59" s="4"/>
    </row>
    <row r="60" spans="1:543">
      <c r="A60">
        <v>7644</v>
      </c>
      <c r="B60">
        <v>35</v>
      </c>
      <c r="C60">
        <v>4914878490</v>
      </c>
      <c r="D60" t="s">
        <v>228</v>
      </c>
      <c r="E60" t="s">
        <v>338</v>
      </c>
      <c r="F60" t="s">
        <v>339</v>
      </c>
      <c r="G60" s="2">
        <v>40386</v>
      </c>
      <c r="H60" t="s">
        <v>43</v>
      </c>
      <c r="I60" t="s">
        <v>331</v>
      </c>
      <c r="J60" t="s">
        <v>61</v>
      </c>
      <c r="K60" t="s">
        <v>340</v>
      </c>
      <c r="L60" t="s">
        <v>95</v>
      </c>
      <c r="M60" s="2">
        <v>39114</v>
      </c>
      <c r="N60" t="s">
        <v>341</v>
      </c>
      <c r="O60" s="2">
        <f>DATE(YEAR(G60) + P60, MONTH(G60), DAY(G60))</f>
        <v>64127</v>
      </c>
      <c r="P60">
        <v>65</v>
      </c>
      <c r="Q60" s="2"/>
      <c r="R60" t="s">
        <v>47</v>
      </c>
      <c r="S60" t="s">
        <v>102</v>
      </c>
      <c r="T60" s="2">
        <v>42735</v>
      </c>
      <c r="U60" t="s">
        <v>38</v>
      </c>
      <c r="V60" t="s">
        <v>66</v>
      </c>
      <c r="W60">
        <v>24</v>
      </c>
      <c r="X60" s="1">
        <v>43718</v>
      </c>
      <c r="Y60" s="1">
        <v>8743.6</v>
      </c>
      <c r="Z60" s="1">
        <v>34974.400000000001</v>
      </c>
      <c r="AA60" s="3">
        <v>148</v>
      </c>
      <c r="AK60" s="3"/>
      <c r="AM60" s="4"/>
      <c r="AO60" s="4"/>
      <c r="BA60" s="2"/>
      <c r="BB60" s="2"/>
      <c r="BD60" s="4"/>
      <c r="BF60" s="4"/>
      <c r="BM60" s="2"/>
      <c r="BO60" s="4"/>
      <c r="BQ60" s="4"/>
      <c r="CI60" s="2"/>
      <c r="CJ60" s="2"/>
      <c r="CN60" s="2"/>
      <c r="CQ60" s="2"/>
      <c r="CV60" s="4"/>
      <c r="CX60" s="4"/>
      <c r="CZ60" s="3"/>
      <c r="DB60" s="2"/>
      <c r="DC60" s="2"/>
      <c r="DD60" s="3"/>
      <c r="DE60" s="2"/>
      <c r="DF60" s="2"/>
      <c r="DV60" s="2"/>
      <c r="DW60" s="2"/>
      <c r="EF60" s="4"/>
      <c r="EH60" s="4"/>
      <c r="ER60" s="2"/>
      <c r="ES60" s="2"/>
      <c r="EX60" s="4"/>
      <c r="EZ60" s="4"/>
      <c r="FQ60" s="4"/>
      <c r="FS60" s="4"/>
      <c r="GE60" s="2"/>
      <c r="GJ60" s="4"/>
      <c r="GL60" s="4"/>
      <c r="GT60" s="3"/>
      <c r="GV60" s="2"/>
      <c r="GW60" s="3"/>
      <c r="GX60" s="3"/>
      <c r="HB60" s="3"/>
      <c r="HP60" s="2"/>
      <c r="HS60" s="4"/>
      <c r="HU60" s="4"/>
      <c r="II60" s="4"/>
      <c r="IK60" s="4"/>
      <c r="IS60" s="2"/>
      <c r="IT60" s="2"/>
      <c r="IV60" s="2"/>
      <c r="IW60" s="4"/>
      <c r="JH60" s="2"/>
      <c r="JK60" s="4"/>
      <c r="JM60" s="4"/>
      <c r="JZ60" s="2"/>
      <c r="KD60" s="4"/>
      <c r="KF60" s="4"/>
      <c r="KJ60" s="4"/>
      <c r="KT60" s="2"/>
      <c r="KU60" s="2"/>
      <c r="KW60" s="2"/>
      <c r="LC60" s="2"/>
      <c r="LF60" s="2"/>
      <c r="LK60" s="2"/>
      <c r="LT60" s="4"/>
      <c r="LV60" s="4"/>
      <c r="ME60" s="3"/>
      <c r="NB60" s="2"/>
      <c r="NC60" s="2"/>
      <c r="NJ60" s="2"/>
      <c r="NN60" s="2"/>
      <c r="NO60" s="2"/>
      <c r="NT60" s="4"/>
      <c r="NV60" s="4"/>
      <c r="OA60" s="2"/>
      <c r="OB60" s="2"/>
      <c r="OK60" s="3"/>
      <c r="ON60" s="2"/>
      <c r="OR60" s="4"/>
      <c r="OT60" s="4"/>
      <c r="PD60" s="2"/>
      <c r="PH60" s="2"/>
      <c r="PQ60" s="2"/>
      <c r="PX60" s="2"/>
      <c r="PZ60" s="2"/>
      <c r="QF60" s="4"/>
      <c r="QH60" s="4"/>
      <c r="QZ60" s="2"/>
      <c r="RN60" s="4"/>
      <c r="RO60" s="4"/>
      <c r="RR60" s="2"/>
      <c r="RT60" s="2"/>
      <c r="RU60" s="2"/>
      <c r="SA60" s="4"/>
      <c r="SC60" s="4"/>
      <c r="SN60" s="2"/>
      <c r="SQ60" s="4"/>
      <c r="SS60" s="4"/>
      <c r="TG60" s="2"/>
      <c r="TH60" s="2"/>
      <c r="TI60" s="2"/>
      <c r="TP60" s="3"/>
      <c r="TU60" s="4"/>
      <c r="TW60" s="4"/>
    </row>
    <row r="61" spans="1:543">
      <c r="A61">
        <v>4488</v>
      </c>
      <c r="B61">
        <v>8899</v>
      </c>
      <c r="C61">
        <v>1100644068</v>
      </c>
      <c r="D61" t="s">
        <v>91</v>
      </c>
      <c r="E61" t="s">
        <v>342</v>
      </c>
      <c r="F61" t="s">
        <v>343</v>
      </c>
      <c r="G61" s="2">
        <v>29525</v>
      </c>
      <c r="H61" t="s">
        <v>43</v>
      </c>
      <c r="I61" t="s">
        <v>130</v>
      </c>
      <c r="J61" t="s">
        <v>32</v>
      </c>
      <c r="K61" t="s">
        <v>344</v>
      </c>
      <c r="L61" t="s">
        <v>77</v>
      </c>
      <c r="N61" t="s">
        <v>345</v>
      </c>
      <c r="O61" s="2">
        <f>DATE(YEAR(G61) + P61, MONTH(G61), DAY(G61))</f>
        <v>52535</v>
      </c>
      <c r="P61">
        <v>63</v>
      </c>
      <c r="Q61" s="2">
        <v>45602</v>
      </c>
      <c r="R61" t="s">
        <v>36</v>
      </c>
      <c r="S61" t="s">
        <v>181</v>
      </c>
      <c r="T61" s="2">
        <v>25899</v>
      </c>
      <c r="U61" t="s">
        <v>103</v>
      </c>
      <c r="V61" t="s">
        <v>66</v>
      </c>
      <c r="W61">
        <v>25</v>
      </c>
      <c r="X61" s="1">
        <v>59824</v>
      </c>
      <c r="Y61" s="1">
        <v>11964.800000000001</v>
      </c>
      <c r="Z61" s="1">
        <v>47859.199999999997</v>
      </c>
      <c r="AA61" s="3">
        <v>82</v>
      </c>
      <c r="AK61" s="3"/>
      <c r="AM61" s="4"/>
      <c r="AO61" s="4"/>
      <c r="BA61" s="2"/>
      <c r="BB61" s="2"/>
      <c r="BD61" s="4"/>
      <c r="BF61" s="4"/>
      <c r="BM61" s="2"/>
      <c r="BO61" s="4"/>
      <c r="BQ61" s="4"/>
      <c r="CI61" s="2"/>
      <c r="CJ61" s="2"/>
      <c r="CL61" s="3"/>
      <c r="CN61" s="2"/>
      <c r="CQ61" s="2"/>
      <c r="CV61" s="4"/>
      <c r="DB61" s="2"/>
      <c r="DC61" s="2"/>
      <c r="DE61" s="2"/>
      <c r="DF61" s="2"/>
      <c r="DV61" s="2"/>
      <c r="DW61" s="2"/>
      <c r="EF61" s="4"/>
      <c r="EH61" s="4"/>
      <c r="ER61" s="2"/>
      <c r="ES61" s="2"/>
      <c r="EX61" s="4"/>
      <c r="FQ61" s="4"/>
      <c r="GG61" s="3"/>
      <c r="GJ61" s="4"/>
      <c r="GL61" s="4"/>
      <c r="GR61" s="2"/>
      <c r="GS61" s="3"/>
      <c r="GT61" s="3"/>
      <c r="GV61" s="2"/>
      <c r="GX61" s="3"/>
      <c r="HB61" s="3"/>
      <c r="HP61" s="2"/>
      <c r="HS61" s="4"/>
      <c r="HU61" s="4"/>
      <c r="II61" s="4"/>
      <c r="IK61" s="4"/>
      <c r="IS61" s="2"/>
      <c r="IT61" s="2"/>
      <c r="IW61" s="4"/>
      <c r="IY61" s="4"/>
      <c r="JH61" s="2"/>
      <c r="JK61" s="4"/>
      <c r="JM61" s="4"/>
      <c r="JZ61" s="2"/>
      <c r="KD61" s="4"/>
      <c r="KF61" s="4"/>
      <c r="KJ61" s="4"/>
      <c r="KU61" s="2"/>
      <c r="KW61" s="2"/>
      <c r="LC61" s="2"/>
      <c r="LF61" s="2"/>
      <c r="LK61" s="2"/>
      <c r="LT61" s="4"/>
      <c r="LV61" s="4"/>
      <c r="ME61" s="3"/>
      <c r="NB61" s="2"/>
      <c r="NC61" s="2"/>
      <c r="NG61" s="5"/>
      <c r="NJ61" s="2"/>
      <c r="NN61" s="2"/>
      <c r="NO61" s="2"/>
      <c r="NT61" s="4"/>
      <c r="OA61" s="2"/>
      <c r="OB61" s="2"/>
      <c r="ON61" s="2"/>
      <c r="OR61" s="4"/>
      <c r="OT61" s="4"/>
      <c r="PD61" s="2"/>
      <c r="PH61" s="2"/>
      <c r="PX61" s="2"/>
      <c r="PZ61" s="2"/>
      <c r="QF61" s="4"/>
      <c r="QH61" s="4"/>
      <c r="QZ61" s="2"/>
      <c r="RA61" s="2"/>
      <c r="RN61" s="4"/>
      <c r="RO61" s="4"/>
      <c r="RR61" s="2"/>
      <c r="SA61" s="4"/>
      <c r="SC61" s="4"/>
      <c r="SM61" s="3"/>
      <c r="SN61" s="2"/>
      <c r="SQ61" s="4"/>
      <c r="SS61" s="4"/>
      <c r="TG61" s="2"/>
      <c r="TH61" s="2"/>
      <c r="TI61" s="2"/>
      <c r="TU61" s="4"/>
      <c r="TW61" s="4"/>
    </row>
    <row r="62" spans="1:543">
      <c r="A62">
        <v>6206</v>
      </c>
      <c r="B62">
        <v>2409</v>
      </c>
      <c r="C62">
        <v>5668437764</v>
      </c>
      <c r="D62" t="s">
        <v>316</v>
      </c>
      <c r="E62" t="s">
        <v>346</v>
      </c>
      <c r="F62" t="s">
        <v>347</v>
      </c>
      <c r="G62" s="2">
        <v>35989</v>
      </c>
      <c r="H62" t="s">
        <v>43</v>
      </c>
      <c r="I62" t="s">
        <v>124</v>
      </c>
      <c r="J62" t="s">
        <v>32</v>
      </c>
      <c r="K62" t="s">
        <v>348</v>
      </c>
      <c r="L62" t="s">
        <v>95</v>
      </c>
      <c r="M62" s="2"/>
      <c r="N62" t="s">
        <v>349</v>
      </c>
      <c r="O62" s="2">
        <f>DATE(YEAR(G62) + P62, MONTH(G62), DAY(G62))</f>
        <v>57904</v>
      </c>
      <c r="P62">
        <v>60</v>
      </c>
      <c r="Q62" s="2"/>
      <c r="R62" t="s">
        <v>47</v>
      </c>
      <c r="S62" t="s">
        <v>64</v>
      </c>
      <c r="T62" s="2">
        <v>32477</v>
      </c>
      <c r="U62" t="s">
        <v>65</v>
      </c>
      <c r="V62" t="s">
        <v>56</v>
      </c>
      <c r="W62">
        <v>19</v>
      </c>
      <c r="X62" s="1">
        <v>25710</v>
      </c>
      <c r="Y62" s="1">
        <v>5142</v>
      </c>
      <c r="Z62" s="1">
        <v>20568</v>
      </c>
      <c r="AA62" s="3">
        <v>836</v>
      </c>
      <c r="AK62" s="3"/>
      <c r="AM62" s="4"/>
      <c r="AO62" s="4"/>
      <c r="BB62" s="2"/>
      <c r="BD62" s="4"/>
      <c r="BF62" s="4"/>
      <c r="BM62" s="2"/>
      <c r="BO62" s="4"/>
      <c r="BQ62" s="4"/>
      <c r="CI62" s="2"/>
      <c r="CJ62" s="2"/>
      <c r="CN62" s="2"/>
      <c r="CQ62" s="2"/>
      <c r="CV62" s="4"/>
      <c r="DB62" s="2"/>
      <c r="DC62" s="2"/>
      <c r="DE62" s="2"/>
      <c r="DV62" s="2"/>
      <c r="EF62" s="4"/>
      <c r="EH62" s="4"/>
      <c r="ER62" s="2"/>
      <c r="ES62" s="2"/>
      <c r="EX62" s="4"/>
      <c r="EZ62" s="4"/>
      <c r="FQ62" s="4"/>
      <c r="FS62" s="4"/>
      <c r="GE62" s="2"/>
      <c r="GJ62" s="4"/>
      <c r="GL62" s="4"/>
      <c r="GR62" s="2"/>
      <c r="GS62" s="3"/>
      <c r="GU62" s="3"/>
      <c r="GV62" s="2"/>
      <c r="HB62" s="3"/>
      <c r="HP62" s="2"/>
      <c r="HS62" s="4"/>
      <c r="HU62" s="4"/>
      <c r="IF62" s="3"/>
      <c r="II62" s="4"/>
      <c r="IK62" s="4"/>
      <c r="IS62" s="2"/>
      <c r="IT62" s="2"/>
      <c r="IV62" s="2"/>
      <c r="IW62" s="4"/>
      <c r="IY62" s="4"/>
      <c r="JH62" s="2"/>
      <c r="JK62" s="4"/>
      <c r="JZ62" s="2"/>
      <c r="KA62" s="3"/>
      <c r="KD62" s="4"/>
      <c r="KF62" s="4"/>
      <c r="KJ62" s="4"/>
      <c r="KT62" s="2"/>
      <c r="KU62" s="2"/>
      <c r="KW62" s="2"/>
      <c r="LC62" s="2"/>
      <c r="LH62" s="3"/>
      <c r="LK62" s="2"/>
      <c r="LT62" s="4"/>
      <c r="LV62" s="4"/>
      <c r="NB62" s="2"/>
      <c r="NC62" s="2"/>
      <c r="NJ62" s="2"/>
      <c r="NN62" s="2"/>
      <c r="NO62" s="2"/>
      <c r="NT62" s="4"/>
      <c r="NV62" s="4"/>
      <c r="OA62" s="2"/>
      <c r="OB62" s="2"/>
      <c r="OJ62" s="3"/>
      <c r="ON62" s="2"/>
      <c r="OT62" s="4"/>
      <c r="PD62" s="2"/>
      <c r="PH62" s="2"/>
      <c r="PQ62" s="2"/>
      <c r="PX62" s="2"/>
      <c r="PZ62" s="2"/>
      <c r="QF62" s="4"/>
      <c r="QZ62" s="2"/>
      <c r="RA62" s="2"/>
      <c r="RO62" s="4"/>
      <c r="RR62" s="2"/>
      <c r="RT62" s="2"/>
      <c r="RU62" s="2"/>
      <c r="SA62" s="4"/>
      <c r="SC62" s="4"/>
      <c r="SS62" s="4"/>
      <c r="TG62" s="2"/>
      <c r="TH62" s="2"/>
      <c r="TI62" s="2"/>
      <c r="TU62" s="4"/>
      <c r="TW62" s="4"/>
    </row>
    <row r="63" spans="1:543">
      <c r="A63">
        <v>3297</v>
      </c>
      <c r="B63">
        <v>4586</v>
      </c>
      <c r="C63">
        <v>4674021008</v>
      </c>
      <c r="D63" t="s">
        <v>185</v>
      </c>
      <c r="E63" t="s">
        <v>350</v>
      </c>
      <c r="F63" t="s">
        <v>351</v>
      </c>
      <c r="G63" s="2">
        <v>40304</v>
      </c>
      <c r="H63" t="s">
        <v>30</v>
      </c>
      <c r="I63" t="s">
        <v>236</v>
      </c>
      <c r="J63" t="s">
        <v>61</v>
      </c>
      <c r="K63" t="s">
        <v>352</v>
      </c>
      <c r="L63" t="s">
        <v>34</v>
      </c>
      <c r="M63" s="2">
        <v>44182</v>
      </c>
      <c r="N63" t="s">
        <v>353</v>
      </c>
      <c r="O63" s="2">
        <f>DATE(YEAR(G63) + P63, MONTH(G63), DAY(G63))</f>
        <v>65872</v>
      </c>
      <c r="P63">
        <v>70</v>
      </c>
      <c r="Q63" s="2"/>
      <c r="R63" t="s">
        <v>47</v>
      </c>
      <c r="S63" t="s">
        <v>37</v>
      </c>
      <c r="T63" s="2">
        <v>25202</v>
      </c>
      <c r="U63" t="s">
        <v>38</v>
      </c>
      <c r="V63" t="s">
        <v>39</v>
      </c>
      <c r="W63">
        <v>18</v>
      </c>
      <c r="X63" s="1">
        <v>25342</v>
      </c>
      <c r="Y63" s="1">
        <v>5068.4000000000005</v>
      </c>
      <c r="Z63" s="1">
        <v>20273.599999999999</v>
      </c>
      <c r="AA63" s="3">
        <v>1286</v>
      </c>
      <c r="AK63" s="3"/>
      <c r="AM63" s="4"/>
      <c r="AO63" s="4"/>
      <c r="BA63" s="2"/>
      <c r="BB63" s="2"/>
      <c r="BD63" s="4"/>
      <c r="BF63" s="4"/>
      <c r="BM63" s="2"/>
      <c r="BO63" s="4"/>
      <c r="BQ63" s="4"/>
      <c r="CI63" s="2"/>
      <c r="CJ63" s="2"/>
      <c r="CM63" s="3"/>
      <c r="CN63" s="2"/>
      <c r="CQ63" s="2"/>
      <c r="CV63" s="4"/>
      <c r="CX63" s="4"/>
      <c r="DB63" s="2"/>
      <c r="DC63" s="2"/>
      <c r="DE63" s="2"/>
      <c r="DF63" s="2"/>
      <c r="DV63" s="2"/>
      <c r="DW63" s="2"/>
      <c r="EH63" s="4"/>
      <c r="ER63" s="2"/>
      <c r="ES63" s="2"/>
      <c r="EX63" s="4"/>
      <c r="EZ63" s="4"/>
      <c r="FQ63" s="4"/>
      <c r="FS63" s="4"/>
      <c r="GE63" s="2"/>
      <c r="GG63" s="3"/>
      <c r="GJ63" s="4"/>
      <c r="GR63" s="2"/>
      <c r="GT63" s="3"/>
      <c r="GV63" s="2"/>
      <c r="HB63" s="3"/>
      <c r="HO63" s="3"/>
      <c r="HP63" s="2"/>
      <c r="HS63" s="4"/>
      <c r="HU63" s="4"/>
      <c r="IK63" s="4"/>
      <c r="IS63" s="2"/>
      <c r="IT63" s="2"/>
      <c r="IV63" s="2"/>
      <c r="IW63" s="4"/>
      <c r="IY63" s="4"/>
      <c r="JK63" s="4"/>
      <c r="JM63" s="4"/>
      <c r="JZ63" s="2"/>
      <c r="KD63" s="4"/>
      <c r="KF63" s="4"/>
      <c r="KJ63" s="4"/>
      <c r="KT63" s="2"/>
      <c r="KU63" s="2"/>
      <c r="KW63" s="2"/>
      <c r="LC63" s="2"/>
      <c r="LF63" s="2"/>
      <c r="LT63" s="4"/>
      <c r="LV63" s="4"/>
      <c r="ML63" s="3"/>
      <c r="NB63" s="2"/>
      <c r="NC63" s="2"/>
      <c r="NG63" s="5"/>
      <c r="NJ63" s="2"/>
      <c r="NN63" s="2"/>
      <c r="NO63" s="2"/>
      <c r="NT63" s="4"/>
      <c r="NV63" s="4"/>
      <c r="OA63" s="2"/>
      <c r="OB63" s="2"/>
      <c r="ON63" s="2"/>
      <c r="OO63" s="3"/>
      <c r="OT63" s="4"/>
      <c r="PD63" s="2"/>
      <c r="PH63" s="2"/>
      <c r="PN63" s="3"/>
      <c r="PQ63" s="2"/>
      <c r="PX63" s="2"/>
      <c r="PZ63" s="2"/>
      <c r="QF63" s="4"/>
      <c r="QH63" s="4"/>
      <c r="QZ63" s="2"/>
      <c r="RA63" s="2"/>
      <c r="RN63" s="4"/>
      <c r="RO63" s="4"/>
      <c r="RR63" s="2"/>
      <c r="RT63" s="2"/>
      <c r="RU63" s="2"/>
      <c r="SA63" s="4"/>
      <c r="SC63" s="4"/>
      <c r="SN63" s="2"/>
      <c r="SQ63" s="4"/>
      <c r="SS63" s="4"/>
      <c r="TG63" s="2"/>
      <c r="TH63" s="2"/>
      <c r="TI63" s="2"/>
      <c r="TU63" s="4"/>
      <c r="TW63" s="4"/>
    </row>
    <row r="64" spans="1:543">
      <c r="A64">
        <v>3660</v>
      </c>
      <c r="B64">
        <v>8074</v>
      </c>
      <c r="C64">
        <v>9472215946</v>
      </c>
      <c r="D64" t="s">
        <v>72</v>
      </c>
      <c r="E64" t="s">
        <v>354</v>
      </c>
      <c r="F64" t="s">
        <v>355</v>
      </c>
      <c r="G64" s="2">
        <v>38991</v>
      </c>
      <c r="H64" t="s">
        <v>43</v>
      </c>
      <c r="I64" t="s">
        <v>236</v>
      </c>
      <c r="J64" t="s">
        <v>61</v>
      </c>
      <c r="K64" t="s">
        <v>356</v>
      </c>
      <c r="L64" t="s">
        <v>77</v>
      </c>
      <c r="M64" s="2">
        <v>41380</v>
      </c>
      <c r="N64" t="s">
        <v>357</v>
      </c>
      <c r="O64" s="2">
        <f>DATE(YEAR(G64) + P64, MONTH(G64), DAY(G64))</f>
        <v>62732</v>
      </c>
      <c r="P64">
        <v>65</v>
      </c>
      <c r="Q64" s="2"/>
      <c r="R64" t="s">
        <v>47</v>
      </c>
      <c r="S64" t="s">
        <v>181</v>
      </c>
      <c r="T64" s="2">
        <v>41965</v>
      </c>
      <c r="U64" t="s">
        <v>133</v>
      </c>
      <c r="V64" t="s">
        <v>66</v>
      </c>
      <c r="W64">
        <v>1</v>
      </c>
      <c r="X64" s="1">
        <v>20710</v>
      </c>
      <c r="Y64" s="1">
        <v>4142</v>
      </c>
      <c r="Z64" s="1">
        <v>16568</v>
      </c>
      <c r="AA64" s="3">
        <v>1252</v>
      </c>
      <c r="AK64" s="3"/>
      <c r="AM64" s="4"/>
      <c r="AO64" s="4"/>
      <c r="BA64" s="2"/>
      <c r="BD64" s="4"/>
      <c r="BF64" s="4"/>
      <c r="BM64" s="2"/>
      <c r="BO64" s="4"/>
      <c r="BQ64" s="4"/>
      <c r="CI64" s="2"/>
      <c r="CJ64" s="2"/>
      <c r="CN64" s="2"/>
      <c r="CQ64" s="2"/>
      <c r="CV64" s="4"/>
      <c r="CX64" s="4"/>
      <c r="DB64" s="2"/>
      <c r="DC64" s="2"/>
      <c r="DE64" s="2"/>
      <c r="DF64" s="2"/>
      <c r="DV64" s="2"/>
      <c r="DW64" s="2"/>
      <c r="EF64" s="4"/>
      <c r="EH64" s="4"/>
      <c r="ER64" s="2"/>
      <c r="ES64" s="2"/>
      <c r="EX64" s="4"/>
      <c r="EZ64" s="4"/>
      <c r="FQ64" s="4"/>
      <c r="FS64" s="4"/>
      <c r="GE64" s="2"/>
      <c r="GJ64" s="4"/>
      <c r="GL64" s="4"/>
      <c r="GR64" s="2"/>
      <c r="GT64" s="3"/>
      <c r="GU64" s="3"/>
      <c r="GV64" s="2"/>
      <c r="GX64" s="3"/>
      <c r="GY64" s="3"/>
      <c r="HB64" s="3"/>
      <c r="HP64" s="2"/>
      <c r="HS64" s="4"/>
      <c r="HU64" s="4"/>
      <c r="II64" s="4"/>
      <c r="IS64" s="2"/>
      <c r="IT64" s="2"/>
      <c r="IV64" s="2"/>
      <c r="IW64" s="4"/>
      <c r="JH64" s="2"/>
      <c r="JK64" s="4"/>
      <c r="JZ64" s="2"/>
      <c r="KD64" s="4"/>
      <c r="KF64" s="4"/>
      <c r="KJ64" s="4"/>
      <c r="KT64" s="2"/>
      <c r="KU64" s="2"/>
      <c r="KW64" s="2"/>
      <c r="LC64" s="2"/>
      <c r="LF64" s="2"/>
      <c r="LK64" s="2"/>
      <c r="LT64" s="4"/>
      <c r="LV64" s="4"/>
      <c r="MA64" s="3"/>
      <c r="MD64" s="3"/>
      <c r="MG64" s="3"/>
      <c r="NB64" s="2"/>
      <c r="NC64" s="2"/>
      <c r="NH64" s="3"/>
      <c r="NJ64" s="2"/>
      <c r="NN64" s="2"/>
      <c r="NT64" s="4"/>
      <c r="NV64" s="4"/>
      <c r="OA64" s="2"/>
      <c r="OB64" s="2"/>
      <c r="ON64" s="2"/>
      <c r="OR64" s="4"/>
      <c r="OT64" s="4"/>
      <c r="PD64" s="2"/>
      <c r="PH64" s="2"/>
      <c r="PQ64" s="2"/>
      <c r="PX64" s="2"/>
      <c r="PY64" s="3"/>
      <c r="PZ64" s="2"/>
      <c r="QF64" s="4"/>
      <c r="QH64" s="4"/>
      <c r="QZ64" s="2"/>
      <c r="RA64" s="2"/>
      <c r="RN64" s="4"/>
      <c r="RO64" s="4"/>
      <c r="RR64" s="2"/>
      <c r="RT64" s="2"/>
      <c r="RU64" s="2"/>
      <c r="SA64" s="4"/>
      <c r="SC64" s="4"/>
      <c r="SS64" s="4"/>
      <c r="TG64" s="2"/>
      <c r="TH64" s="2"/>
      <c r="TN64" s="3"/>
      <c r="TU64" s="4"/>
    </row>
    <row r="65" spans="1:543">
      <c r="A65">
        <v>9081</v>
      </c>
      <c r="B65">
        <v>8036</v>
      </c>
      <c r="C65">
        <v>3536070284</v>
      </c>
      <c r="D65" t="s">
        <v>121</v>
      </c>
      <c r="E65" t="s">
        <v>358</v>
      </c>
      <c r="F65" t="s">
        <v>359</v>
      </c>
      <c r="G65" s="2">
        <v>40342</v>
      </c>
      <c r="H65" t="s">
        <v>43</v>
      </c>
      <c r="I65" t="s">
        <v>148</v>
      </c>
      <c r="J65" t="s">
        <v>32</v>
      </c>
      <c r="K65" t="s">
        <v>360</v>
      </c>
      <c r="L65" t="s">
        <v>77</v>
      </c>
      <c r="M65" s="2"/>
      <c r="N65" t="s">
        <v>361</v>
      </c>
      <c r="O65" s="2">
        <f>DATE(YEAR(G65) + P65, MONTH(G65), DAY(G65))</f>
        <v>64449</v>
      </c>
      <c r="P65">
        <v>66</v>
      </c>
      <c r="Q65" s="2"/>
      <c r="R65" t="s">
        <v>47</v>
      </c>
      <c r="S65" t="s">
        <v>64</v>
      </c>
      <c r="T65" s="2">
        <v>36738</v>
      </c>
      <c r="U65" t="s">
        <v>133</v>
      </c>
      <c r="V65" t="s">
        <v>66</v>
      </c>
      <c r="W65">
        <v>4</v>
      </c>
      <c r="X65" s="1">
        <v>4312</v>
      </c>
      <c r="Y65" s="1">
        <v>862.40000000000009</v>
      </c>
      <c r="Z65" s="1">
        <v>3449.6</v>
      </c>
      <c r="AA65" s="3">
        <v>188</v>
      </c>
      <c r="AK65" s="3"/>
      <c r="AM65" s="4"/>
      <c r="AO65" s="4"/>
      <c r="BA65" s="2"/>
      <c r="BD65" s="4"/>
      <c r="BF65" s="4"/>
      <c r="BM65" s="2"/>
      <c r="BO65" s="4"/>
      <c r="BQ65" s="4"/>
      <c r="CI65" s="2"/>
      <c r="CJ65" s="2"/>
      <c r="CL65" s="3"/>
      <c r="CN65" s="2"/>
      <c r="CQ65" s="2"/>
      <c r="CV65" s="4"/>
      <c r="CX65" s="4"/>
      <c r="DB65" s="2"/>
      <c r="DC65" s="2"/>
      <c r="DE65" s="2"/>
      <c r="DF65" s="2"/>
      <c r="DG65" s="3"/>
      <c r="DV65" s="2"/>
      <c r="DW65" s="2"/>
      <c r="EF65" s="4"/>
      <c r="EH65" s="4"/>
      <c r="ER65" s="2"/>
      <c r="ES65" s="2"/>
      <c r="EX65" s="4"/>
      <c r="EZ65" s="4"/>
      <c r="FQ65" s="4"/>
      <c r="FS65" s="4"/>
      <c r="GE65" s="2"/>
      <c r="GJ65" s="4"/>
      <c r="GL65" s="4"/>
      <c r="GR65" s="2"/>
      <c r="GS65" s="3"/>
      <c r="GT65" s="3"/>
      <c r="GU65" s="3"/>
      <c r="GV65" s="2"/>
      <c r="GY65" s="3"/>
      <c r="HB65" s="3"/>
      <c r="HP65" s="2"/>
      <c r="HS65" s="4"/>
      <c r="HU65" s="4"/>
      <c r="II65" s="4"/>
      <c r="IK65" s="4"/>
      <c r="IS65" s="2"/>
      <c r="IT65" s="2"/>
      <c r="IV65" s="2"/>
      <c r="IW65" s="4"/>
      <c r="JH65" s="2"/>
      <c r="JK65" s="4"/>
      <c r="JM65" s="4"/>
      <c r="JZ65" s="2"/>
      <c r="KD65" s="4"/>
      <c r="KF65" s="4"/>
      <c r="KJ65" s="4"/>
      <c r="KT65" s="2"/>
      <c r="KU65" s="2"/>
      <c r="KW65" s="2"/>
      <c r="LC65" s="2"/>
      <c r="LF65" s="2"/>
      <c r="LK65" s="2"/>
      <c r="LT65" s="4"/>
      <c r="LV65" s="4"/>
      <c r="NB65" s="2"/>
      <c r="NC65" s="2"/>
      <c r="NJ65" s="2"/>
      <c r="NN65" s="2"/>
      <c r="NO65" s="2"/>
      <c r="NT65" s="4"/>
      <c r="OA65" s="2"/>
      <c r="OB65" s="2"/>
      <c r="ON65" s="2"/>
      <c r="OR65" s="4"/>
      <c r="OT65" s="4"/>
      <c r="PD65" s="2"/>
      <c r="PH65" s="2"/>
      <c r="PI65" s="3"/>
      <c r="PQ65" s="2"/>
      <c r="PX65" s="2"/>
      <c r="PZ65" s="2"/>
      <c r="QF65" s="4"/>
      <c r="QH65" s="4"/>
      <c r="QZ65" s="2"/>
      <c r="RA65" s="2"/>
      <c r="RM65" s="3"/>
      <c r="RN65" s="4"/>
      <c r="RR65" s="2"/>
      <c r="RT65" s="2"/>
      <c r="RU65" s="2"/>
      <c r="SA65" s="4"/>
      <c r="SC65" s="4"/>
      <c r="SN65" s="2"/>
      <c r="SQ65" s="4"/>
      <c r="SS65" s="4"/>
      <c r="TG65" s="2"/>
      <c r="TH65" s="2"/>
      <c r="TI65" s="2"/>
      <c r="TU65" s="4"/>
      <c r="TW65" s="4"/>
    </row>
    <row r="66" spans="1:543">
      <c r="A66">
        <v>998</v>
      </c>
      <c r="B66">
        <v>3126</v>
      </c>
      <c r="C66" s="3" t="s">
        <v>362</v>
      </c>
      <c r="D66" t="s">
        <v>363</v>
      </c>
      <c r="E66" t="s">
        <v>364</v>
      </c>
      <c r="F66" t="s">
        <v>365</v>
      </c>
      <c r="G66" s="2">
        <v>40156</v>
      </c>
      <c r="H66" t="s">
        <v>43</v>
      </c>
      <c r="I66" t="s">
        <v>148</v>
      </c>
      <c r="J66" t="s">
        <v>32</v>
      </c>
      <c r="K66" t="s">
        <v>366</v>
      </c>
      <c r="L66" t="s">
        <v>95</v>
      </c>
      <c r="M66" s="2"/>
      <c r="N66" t="s">
        <v>367</v>
      </c>
      <c r="O66" s="2">
        <f>DATE(YEAR(G66) + P66, MONTH(G66), DAY(G66))</f>
        <v>62071</v>
      </c>
      <c r="P66">
        <v>60</v>
      </c>
      <c r="Q66" s="2"/>
      <c r="R66" t="s">
        <v>47</v>
      </c>
      <c r="S66" t="s">
        <v>102</v>
      </c>
      <c r="T66" s="2">
        <v>39485</v>
      </c>
      <c r="U66" t="s">
        <v>38</v>
      </c>
      <c r="V66" t="s">
        <v>38</v>
      </c>
      <c r="W66">
        <v>6</v>
      </c>
      <c r="X66" s="1">
        <v>89548</v>
      </c>
      <c r="Y66" s="1">
        <v>17909.600000000002</v>
      </c>
      <c r="Z66" s="1">
        <v>71638.399999999994</v>
      </c>
      <c r="AA66" s="3">
        <v>96</v>
      </c>
      <c r="AK66" s="3"/>
      <c r="AM66" s="4"/>
      <c r="AO66" s="4"/>
      <c r="BA66" s="2"/>
      <c r="BD66" s="4"/>
      <c r="BF66" s="4"/>
      <c r="BM66" s="2"/>
      <c r="BO66" s="4"/>
      <c r="BQ66" s="4"/>
      <c r="CI66" s="2"/>
      <c r="CJ66" s="2"/>
      <c r="CP66" s="3"/>
      <c r="CQ66" s="2"/>
      <c r="CV66" s="4"/>
      <c r="CX66" s="4"/>
      <c r="DB66" s="2"/>
      <c r="DC66" s="2"/>
      <c r="DE66" s="2"/>
      <c r="DF66" s="2"/>
      <c r="DV66" s="2"/>
      <c r="DW66" s="2"/>
      <c r="EF66" s="4"/>
      <c r="EH66" s="4"/>
      <c r="ER66" s="2"/>
      <c r="ES66" s="2"/>
      <c r="EX66" s="4"/>
      <c r="EZ66" s="4"/>
      <c r="FQ66" s="4"/>
      <c r="FS66" s="4"/>
      <c r="GE66" s="2"/>
      <c r="GJ66" s="4"/>
      <c r="GL66" s="4"/>
      <c r="GR66" s="2"/>
      <c r="GS66" s="3"/>
      <c r="GV66" s="2"/>
      <c r="GX66" s="3"/>
      <c r="HO66" s="3"/>
      <c r="HP66" s="2"/>
      <c r="HS66" s="4"/>
      <c r="HU66" s="4"/>
      <c r="II66" s="4"/>
      <c r="IK66" s="4"/>
      <c r="IS66" s="2"/>
      <c r="IT66" s="2"/>
      <c r="IV66" s="2"/>
      <c r="IW66" s="4"/>
      <c r="IY66" s="4"/>
      <c r="JH66" s="2"/>
      <c r="JK66" s="4"/>
      <c r="JM66" s="4"/>
      <c r="JZ66" s="2"/>
      <c r="KD66" s="4"/>
      <c r="KF66" s="4"/>
      <c r="KJ66" s="4"/>
      <c r="KT66" s="2"/>
      <c r="KU66" s="2"/>
      <c r="LC66" s="2"/>
      <c r="LF66" s="2"/>
      <c r="LK66" s="2"/>
      <c r="LT66" s="4"/>
      <c r="LV66" s="4"/>
      <c r="NC66" s="2"/>
      <c r="NJ66" s="2"/>
      <c r="NN66" s="2"/>
      <c r="NO66" s="2"/>
      <c r="NT66" s="4"/>
      <c r="NV66" s="4"/>
      <c r="OA66" s="2"/>
      <c r="OB66" s="2"/>
      <c r="ON66" s="2"/>
      <c r="OO66" s="3"/>
      <c r="OR66" s="4"/>
      <c r="OT66" s="4"/>
      <c r="PD66" s="2"/>
      <c r="PH66" s="2"/>
      <c r="PQ66" s="2"/>
      <c r="PX66" s="2"/>
      <c r="PZ66" s="2"/>
      <c r="QF66" s="4"/>
      <c r="QH66" s="4"/>
      <c r="QZ66" s="2"/>
      <c r="RA66" s="2"/>
      <c r="RN66" s="4"/>
      <c r="RO66" s="4"/>
      <c r="RR66" s="2"/>
      <c r="RT66" s="2"/>
      <c r="RU66" s="2"/>
      <c r="SA66" s="4"/>
      <c r="SC66" s="4"/>
      <c r="SM66" s="3"/>
      <c r="SN66" s="2"/>
      <c r="SQ66" s="4"/>
      <c r="SS66" s="4"/>
      <c r="TG66" s="2"/>
      <c r="TH66" s="2"/>
      <c r="TI66" s="2"/>
      <c r="TU66" s="4"/>
      <c r="TW66" s="4"/>
    </row>
    <row r="67" spans="1:543">
      <c r="A67">
        <v>2872</v>
      </c>
      <c r="B67">
        <v>7911</v>
      </c>
      <c r="C67" s="3" t="s">
        <v>368</v>
      </c>
      <c r="D67" t="s">
        <v>67</v>
      </c>
      <c r="E67" t="s">
        <v>369</v>
      </c>
      <c r="F67" t="s">
        <v>370</v>
      </c>
      <c r="G67" s="2">
        <v>40510</v>
      </c>
      <c r="H67" t="s">
        <v>30</v>
      </c>
      <c r="I67" t="s">
        <v>279</v>
      </c>
      <c r="J67" t="s">
        <v>32</v>
      </c>
      <c r="K67" t="s">
        <v>371</v>
      </c>
      <c r="L67" t="s">
        <v>77</v>
      </c>
      <c r="M67" s="2"/>
      <c r="N67" t="s">
        <v>372</v>
      </c>
      <c r="O67" s="2">
        <f>DATE(YEAR(G67) + P67, MONTH(G67), DAY(G67))</f>
        <v>63156</v>
      </c>
      <c r="P67">
        <v>62</v>
      </c>
      <c r="Q67" s="2"/>
      <c r="R67" t="s">
        <v>47</v>
      </c>
      <c r="S67" t="s">
        <v>109</v>
      </c>
      <c r="T67" s="2">
        <v>44074</v>
      </c>
      <c r="U67" t="s">
        <v>65</v>
      </c>
      <c r="V67" t="s">
        <v>66</v>
      </c>
      <c r="W67">
        <v>24</v>
      </c>
      <c r="X67" s="1">
        <v>69439</v>
      </c>
      <c r="Y67" s="1">
        <v>13887.800000000001</v>
      </c>
      <c r="Z67" s="1">
        <v>55551.199999999997</v>
      </c>
      <c r="AA67" s="3">
        <v>1458</v>
      </c>
      <c r="AK67" s="3"/>
      <c r="AM67" s="4"/>
      <c r="AO67" s="4"/>
      <c r="BA67" s="2"/>
      <c r="BB67" s="2"/>
      <c r="BD67" s="4"/>
      <c r="BF67" s="4"/>
      <c r="BM67" s="2"/>
      <c r="BO67" s="4"/>
      <c r="BQ67" s="4"/>
      <c r="CI67" s="2"/>
      <c r="CJ67" s="2"/>
      <c r="CN67" s="2"/>
      <c r="CQ67" s="2"/>
      <c r="CV67" s="4"/>
      <c r="CX67" s="4"/>
      <c r="DB67" s="2"/>
      <c r="DC67" s="2"/>
      <c r="DE67" s="2"/>
      <c r="DF67" s="2"/>
      <c r="DV67" s="2"/>
      <c r="DW67" s="2"/>
      <c r="EF67" s="4"/>
      <c r="EH67" s="4"/>
      <c r="EV67" s="3"/>
      <c r="EX67" s="4"/>
      <c r="EZ67" s="4"/>
      <c r="FQ67" s="4"/>
      <c r="FS67" s="4"/>
      <c r="GE67" s="2"/>
      <c r="GJ67" s="4"/>
      <c r="GL67" s="4"/>
      <c r="GR67" s="2"/>
      <c r="GT67" s="3"/>
      <c r="GU67" s="3"/>
      <c r="GV67" s="2"/>
      <c r="GW67" s="3"/>
      <c r="HB67" s="3"/>
      <c r="HO67" s="3"/>
      <c r="HP67" s="2"/>
      <c r="HS67" s="4"/>
      <c r="HU67" s="4"/>
      <c r="II67" s="4"/>
      <c r="IK67" s="4"/>
      <c r="IS67" s="2"/>
      <c r="IT67" s="2"/>
      <c r="IV67" s="2"/>
      <c r="IW67" s="4"/>
      <c r="IY67" s="4"/>
      <c r="JH67" s="2"/>
      <c r="JK67" s="4"/>
      <c r="JM67" s="4"/>
      <c r="JZ67" s="2"/>
      <c r="KD67" s="4"/>
      <c r="KF67" s="4"/>
      <c r="KJ67" s="4"/>
      <c r="KT67" s="2"/>
      <c r="KU67" s="2"/>
      <c r="KW67" s="2"/>
      <c r="LC67" s="2"/>
      <c r="LF67" s="2"/>
      <c r="LK67" s="2"/>
      <c r="LT67" s="4"/>
      <c r="LV67" s="4"/>
      <c r="NC67" s="2"/>
      <c r="NJ67" s="2"/>
      <c r="NN67" s="2"/>
      <c r="NO67" s="2"/>
      <c r="NT67" s="4"/>
      <c r="NV67" s="4"/>
      <c r="OA67" s="2"/>
      <c r="OB67" s="2"/>
      <c r="ON67" s="2"/>
      <c r="OR67" s="4"/>
      <c r="OT67" s="4"/>
      <c r="PD67" s="2"/>
      <c r="PH67" s="2"/>
      <c r="PP67" s="3"/>
      <c r="PQ67" s="2"/>
      <c r="PX67" s="2"/>
      <c r="PZ67" s="2"/>
      <c r="QF67" s="4"/>
      <c r="QH67" s="4"/>
      <c r="QX67" s="3"/>
      <c r="QZ67" s="2"/>
      <c r="RA67" s="2"/>
      <c r="RN67" s="4"/>
      <c r="RO67" s="4"/>
      <c r="RR67" s="2"/>
      <c r="RT67" s="2"/>
      <c r="RU67" s="2"/>
      <c r="SA67" s="4"/>
      <c r="SC67" s="4"/>
      <c r="SN67" s="2"/>
      <c r="SQ67" s="4"/>
      <c r="SS67" s="4"/>
      <c r="TG67" s="2"/>
      <c r="TH67" s="2"/>
      <c r="TI67" s="2"/>
      <c r="TP67" s="3"/>
      <c r="TU67" s="4"/>
      <c r="TW67" s="4"/>
    </row>
    <row r="68" spans="1:543">
      <c r="A68">
        <v>6236</v>
      </c>
      <c r="B68">
        <v>4412</v>
      </c>
      <c r="C68">
        <v>3125840891</v>
      </c>
      <c r="D68" t="s">
        <v>104</v>
      </c>
      <c r="E68" t="s">
        <v>373</v>
      </c>
      <c r="F68" t="s">
        <v>374</v>
      </c>
      <c r="G68" s="2">
        <v>37803</v>
      </c>
      <c r="H68" t="s">
        <v>43</v>
      </c>
      <c r="I68" t="s">
        <v>44</v>
      </c>
      <c r="J68" t="s">
        <v>32</v>
      </c>
      <c r="K68" t="s">
        <v>375</v>
      </c>
      <c r="L68" t="s">
        <v>95</v>
      </c>
      <c r="M68" s="2"/>
      <c r="N68" t="s">
        <v>376</v>
      </c>
      <c r="O68" s="2">
        <f>DATE(YEAR(G68) + P68, MONTH(G68), DAY(G68))</f>
        <v>60814</v>
      </c>
      <c r="P68">
        <v>63</v>
      </c>
      <c r="Q68" s="2"/>
      <c r="R68" t="s">
        <v>47</v>
      </c>
      <c r="S68" t="s">
        <v>181</v>
      </c>
      <c r="T68" s="2">
        <v>45274</v>
      </c>
      <c r="U68" t="s">
        <v>49</v>
      </c>
      <c r="V68" t="s">
        <v>66</v>
      </c>
      <c r="W68">
        <v>20</v>
      </c>
      <c r="X68" s="1">
        <v>67795</v>
      </c>
      <c r="Y68" s="1">
        <v>13559</v>
      </c>
      <c r="Z68" s="1">
        <v>54236</v>
      </c>
      <c r="AA68" s="3">
        <v>508</v>
      </c>
      <c r="AK68" s="3"/>
      <c r="AM68" s="4"/>
      <c r="AO68" s="4"/>
      <c r="BA68" s="2"/>
      <c r="BB68" s="2"/>
      <c r="BD68" s="4"/>
      <c r="BF68" s="4"/>
      <c r="BM68" s="2"/>
      <c r="BQ68" s="4"/>
      <c r="CI68" s="2"/>
      <c r="CJ68" s="2"/>
      <c r="CN68" s="2"/>
      <c r="CQ68" s="2"/>
      <c r="CV68" s="4"/>
      <c r="CX68" s="4"/>
      <c r="DB68" s="2"/>
      <c r="DC68" s="2"/>
      <c r="DE68" s="2"/>
      <c r="DF68" s="2"/>
      <c r="DV68" s="2"/>
      <c r="DW68" s="2"/>
      <c r="EF68" s="4"/>
      <c r="EH68" s="4"/>
      <c r="ER68" s="2"/>
      <c r="ES68" s="2"/>
      <c r="EX68" s="4"/>
      <c r="EZ68" s="4"/>
      <c r="FQ68" s="4"/>
      <c r="FS68" s="4"/>
      <c r="GE68" s="2"/>
      <c r="GJ68" s="4"/>
      <c r="GR68" s="2"/>
      <c r="GS68" s="3"/>
      <c r="GU68" s="3"/>
      <c r="GV68" s="2"/>
      <c r="HB68" s="3"/>
      <c r="HP68" s="2"/>
      <c r="HS68" s="4"/>
      <c r="HU68" s="4"/>
      <c r="II68" s="4"/>
      <c r="IK68" s="4"/>
      <c r="IS68" s="2"/>
      <c r="IV68" s="2"/>
      <c r="IW68" s="4"/>
      <c r="IY68" s="4"/>
      <c r="JH68" s="2"/>
      <c r="JK68" s="4"/>
      <c r="JM68" s="4"/>
      <c r="JZ68" s="2"/>
      <c r="KA68" s="3"/>
      <c r="KD68" s="4"/>
      <c r="KF68" s="4"/>
      <c r="KJ68" s="4"/>
      <c r="KT68" s="2"/>
      <c r="KU68" s="2"/>
      <c r="KW68" s="2"/>
      <c r="LC68" s="2"/>
      <c r="LF68" s="2"/>
      <c r="LK68" s="2"/>
      <c r="LT68" s="4"/>
      <c r="LV68" s="4"/>
      <c r="NB68" s="2"/>
      <c r="NC68" s="2"/>
      <c r="NJ68" s="2"/>
      <c r="NN68" s="2"/>
      <c r="NO68" s="2"/>
      <c r="NT68" s="4"/>
      <c r="NV68" s="4"/>
      <c r="OA68" s="2"/>
      <c r="OB68" s="2"/>
      <c r="ON68" s="2"/>
      <c r="OR68" s="4"/>
      <c r="OT68" s="4"/>
      <c r="PD68" s="2"/>
      <c r="PH68" s="2"/>
      <c r="PQ68" s="2"/>
      <c r="PX68" s="2"/>
      <c r="PZ68" s="2"/>
      <c r="QF68" s="4"/>
      <c r="QH68" s="4"/>
      <c r="QZ68" s="2"/>
      <c r="RA68" s="2"/>
      <c r="RM68" s="3"/>
      <c r="RN68" s="4"/>
      <c r="RO68" s="4"/>
      <c r="RR68" s="2"/>
      <c r="RT68" s="2"/>
      <c r="RU68" s="2"/>
      <c r="SC68" s="4"/>
      <c r="SN68" s="2"/>
      <c r="SQ68" s="4"/>
      <c r="SS68" s="4"/>
      <c r="TG68" s="2"/>
      <c r="TH68" s="2"/>
      <c r="TI68" s="2"/>
      <c r="TU68" s="4"/>
      <c r="TW68" s="4"/>
    </row>
    <row r="69" spans="1:543">
      <c r="A69">
        <v>1853</v>
      </c>
      <c r="B69">
        <v>6289</v>
      </c>
      <c r="C69">
        <v>1089052926</v>
      </c>
      <c r="D69" t="s">
        <v>272</v>
      </c>
      <c r="E69" t="s">
        <v>377</v>
      </c>
      <c r="F69" t="s">
        <v>378</v>
      </c>
      <c r="G69" s="2" t="s">
        <v>379</v>
      </c>
      <c r="H69" t="s">
        <v>43</v>
      </c>
      <c r="I69" t="s">
        <v>130</v>
      </c>
      <c r="J69" t="s">
        <v>32</v>
      </c>
      <c r="K69" t="s">
        <v>380</v>
      </c>
      <c r="L69" t="s">
        <v>34</v>
      </c>
      <c r="M69" s="2"/>
      <c r="N69" t="s">
        <v>381</v>
      </c>
      <c r="O69" s="2">
        <v>60833</v>
      </c>
      <c r="P69">
        <v>64</v>
      </c>
      <c r="Q69" s="2"/>
      <c r="R69" t="s">
        <v>47</v>
      </c>
      <c r="S69" t="s">
        <v>48</v>
      </c>
      <c r="T69" t="s">
        <v>382</v>
      </c>
      <c r="U69" t="s">
        <v>49</v>
      </c>
      <c r="V69" t="s">
        <v>66</v>
      </c>
      <c r="W69">
        <v>12</v>
      </c>
      <c r="X69" s="1">
        <v>23016</v>
      </c>
      <c r="Y69" s="1">
        <v>4603.2</v>
      </c>
      <c r="Z69" s="1">
        <v>18412.8</v>
      </c>
      <c r="AA69" s="3">
        <v>1440</v>
      </c>
      <c r="AK69" s="3"/>
      <c r="AM69" s="4"/>
      <c r="AO69" s="4"/>
      <c r="BA69" s="2"/>
      <c r="BD69" s="4"/>
      <c r="BM69" s="2"/>
      <c r="BO69" s="4"/>
      <c r="CI69" s="2"/>
      <c r="CJ69" s="2"/>
      <c r="CN69" s="2"/>
      <c r="CQ69" s="2"/>
      <c r="CV69" s="4"/>
      <c r="CX69" s="4"/>
      <c r="DA69" s="3"/>
      <c r="DB69" s="2"/>
      <c r="DC69" s="2"/>
      <c r="DE69" s="2"/>
      <c r="DV69" s="2"/>
      <c r="DW69" s="2"/>
      <c r="DX69" s="3"/>
      <c r="EC69" s="3"/>
      <c r="EF69" s="4"/>
      <c r="EH69" s="4"/>
      <c r="ER69" s="2"/>
      <c r="ES69" s="2"/>
      <c r="EX69" s="4"/>
      <c r="EZ69" s="4"/>
      <c r="FQ69" s="4"/>
      <c r="FS69" s="4"/>
      <c r="GE69" s="2"/>
      <c r="GJ69" s="4"/>
      <c r="GL69" s="4"/>
      <c r="GR69" s="2"/>
      <c r="GV69" s="2"/>
      <c r="GW69" s="3"/>
      <c r="GX69" s="3"/>
      <c r="HB69" s="3"/>
      <c r="HP69" s="2"/>
      <c r="HU69" s="4"/>
      <c r="II69" s="4"/>
      <c r="IK69" s="4"/>
      <c r="IS69" s="2"/>
      <c r="IT69" s="2"/>
      <c r="IV69" s="2"/>
      <c r="IW69" s="4"/>
      <c r="IY69" s="4"/>
      <c r="JK69" s="4"/>
      <c r="JM69" s="4"/>
      <c r="JZ69" s="2"/>
      <c r="KC69" s="3"/>
      <c r="KD69" s="4"/>
      <c r="KF69" s="4"/>
      <c r="KJ69" s="4"/>
      <c r="KT69" s="2"/>
      <c r="KU69" s="2"/>
      <c r="KW69" s="2"/>
      <c r="LC69" s="2"/>
      <c r="LF69" s="2"/>
      <c r="LT69" s="4"/>
      <c r="LV69" s="4"/>
      <c r="MI69" s="3"/>
      <c r="NB69" s="2"/>
      <c r="NC69" s="2"/>
      <c r="NJ69" s="2"/>
      <c r="NN69" s="2"/>
      <c r="NT69" s="4"/>
      <c r="NV69" s="4"/>
      <c r="OA69" s="2"/>
      <c r="OB69" s="2"/>
      <c r="ON69" s="2"/>
      <c r="OR69" s="4"/>
      <c r="OT69" s="4"/>
      <c r="PD69" s="2"/>
      <c r="PH69" s="2"/>
      <c r="PQ69" s="2"/>
      <c r="PX69" s="2"/>
      <c r="PZ69" s="2"/>
      <c r="QF69" s="4"/>
      <c r="QH69" s="4"/>
      <c r="QZ69" s="2"/>
      <c r="RA69" s="2"/>
      <c r="RN69" s="4"/>
      <c r="RO69" s="4"/>
      <c r="RR69" s="2"/>
      <c r="RT69" s="2"/>
      <c r="RU69" s="2"/>
      <c r="SA69" s="4"/>
      <c r="SC69" s="4"/>
      <c r="SN69" s="2"/>
      <c r="SQ69" s="4"/>
      <c r="SS69" s="4"/>
      <c r="TG69" s="2"/>
      <c r="TH69" s="2"/>
      <c r="TI69" s="2"/>
      <c r="TU69" s="4"/>
    </row>
    <row r="70" spans="1:543">
      <c r="A70">
        <v>9629</v>
      </c>
      <c r="B70">
        <v>1503</v>
      </c>
      <c r="C70">
        <v>9282597298</v>
      </c>
      <c r="D70" t="s">
        <v>27</v>
      </c>
      <c r="E70" t="s">
        <v>383</v>
      </c>
      <c r="F70" t="s">
        <v>384</v>
      </c>
      <c r="G70" s="2">
        <v>39501</v>
      </c>
      <c r="H70" t="s">
        <v>43</v>
      </c>
      <c r="I70" t="s">
        <v>331</v>
      </c>
      <c r="J70" t="s">
        <v>32</v>
      </c>
      <c r="K70" t="s">
        <v>385</v>
      </c>
      <c r="L70" t="s">
        <v>77</v>
      </c>
      <c r="M70" s="2"/>
      <c r="N70" t="s">
        <v>386</v>
      </c>
      <c r="O70" s="2">
        <f>DATE(YEAR(G70) + P70, MONTH(G70), DAY(G70))</f>
        <v>65069</v>
      </c>
      <c r="P70">
        <v>70</v>
      </c>
      <c r="Q70" s="2"/>
      <c r="R70" t="s">
        <v>47</v>
      </c>
      <c r="S70" t="s">
        <v>102</v>
      </c>
      <c r="T70" s="2">
        <v>27478</v>
      </c>
      <c r="U70" t="s">
        <v>133</v>
      </c>
      <c r="V70" t="s">
        <v>56</v>
      </c>
      <c r="W70">
        <v>3</v>
      </c>
      <c r="X70" s="1">
        <v>44302</v>
      </c>
      <c r="Y70" s="1">
        <v>8860.4</v>
      </c>
      <c r="Z70" s="1">
        <v>35441.599999999999</v>
      </c>
      <c r="AA70" s="3">
        <v>494</v>
      </c>
      <c r="AK70" s="3"/>
      <c r="AM70" s="4"/>
      <c r="AO70" s="4"/>
      <c r="BA70" s="2"/>
      <c r="BB70" s="2"/>
      <c r="BD70" s="4"/>
      <c r="BF70" s="4"/>
      <c r="BM70" s="2"/>
      <c r="BO70" s="4"/>
      <c r="BQ70" s="4"/>
      <c r="CI70" s="2"/>
      <c r="CJ70" s="2"/>
      <c r="CN70" s="2"/>
      <c r="CQ70" s="2"/>
      <c r="CV70" s="4"/>
      <c r="DB70" s="2"/>
      <c r="DC70" s="2"/>
      <c r="DE70" s="2"/>
      <c r="DF70" s="2"/>
      <c r="DW70" s="2"/>
      <c r="EF70" s="4"/>
      <c r="EH70" s="4"/>
      <c r="ER70" s="2"/>
      <c r="ES70" s="2"/>
      <c r="EX70" s="4"/>
      <c r="EZ70" s="4"/>
      <c r="FQ70" s="4"/>
      <c r="FS70" s="4"/>
      <c r="GD70" s="3"/>
      <c r="GE70" s="2"/>
      <c r="GJ70" s="4"/>
      <c r="GL70" s="4"/>
      <c r="GR70" s="2"/>
      <c r="GV70" s="2"/>
      <c r="GX70" s="3"/>
      <c r="HB70" s="3"/>
      <c r="HO70" s="3"/>
      <c r="HP70" s="2"/>
      <c r="HS70" s="4"/>
      <c r="HU70" s="4"/>
      <c r="IF70" s="3"/>
      <c r="II70" s="4"/>
      <c r="IK70" s="4"/>
      <c r="IS70" s="2"/>
      <c r="IT70" s="2"/>
      <c r="IV70" s="2"/>
      <c r="IW70" s="4"/>
      <c r="IY70" s="4"/>
      <c r="JH70" s="2"/>
      <c r="JK70" s="4"/>
      <c r="JM70" s="4"/>
      <c r="JZ70" s="2"/>
      <c r="KD70" s="4"/>
      <c r="KF70" s="4"/>
      <c r="KJ70" s="4"/>
      <c r="KT70" s="2"/>
      <c r="KU70" s="2"/>
      <c r="KW70" s="2"/>
      <c r="LC70" s="2"/>
      <c r="LF70" s="2"/>
      <c r="LT70" s="4"/>
      <c r="LV70" s="4"/>
      <c r="NB70" s="2"/>
      <c r="NC70" s="2"/>
      <c r="NJ70" s="2"/>
      <c r="NN70" s="2"/>
      <c r="NO70" s="2"/>
      <c r="NT70" s="4"/>
      <c r="NV70" s="4"/>
      <c r="OA70" s="2"/>
      <c r="OB70" s="2"/>
      <c r="ON70" s="2"/>
      <c r="OR70" s="4"/>
      <c r="OT70" s="4"/>
      <c r="PD70" s="2"/>
      <c r="PH70" s="2"/>
      <c r="PQ70" s="2"/>
      <c r="PZ70" s="2"/>
      <c r="QF70" s="4"/>
      <c r="QH70" s="4"/>
      <c r="QZ70" s="2"/>
      <c r="RA70" s="2"/>
      <c r="RN70" s="4"/>
      <c r="RO70" s="4"/>
      <c r="RR70" s="2"/>
      <c r="RT70" s="2"/>
      <c r="RU70" s="2"/>
      <c r="SA70" s="4"/>
      <c r="SC70" s="4"/>
      <c r="SQ70" s="4"/>
      <c r="TH70" s="2"/>
      <c r="TN70" s="3"/>
      <c r="TU70" s="4"/>
      <c r="TW70" s="4"/>
    </row>
    <row r="71" spans="1:543">
      <c r="A71">
        <v>7716</v>
      </c>
      <c r="B71">
        <v>405</v>
      </c>
      <c r="C71">
        <v>9126762062</v>
      </c>
      <c r="D71" t="s">
        <v>79</v>
      </c>
      <c r="E71" t="s">
        <v>387</v>
      </c>
      <c r="F71" t="s">
        <v>388</v>
      </c>
      <c r="G71" s="2">
        <v>34735</v>
      </c>
      <c r="H71" t="s">
        <v>43</v>
      </c>
      <c r="I71" t="s">
        <v>236</v>
      </c>
      <c r="J71" t="s">
        <v>32</v>
      </c>
      <c r="K71" t="s">
        <v>389</v>
      </c>
      <c r="L71" t="s">
        <v>77</v>
      </c>
      <c r="M71" s="2"/>
      <c r="N71" t="s">
        <v>390</v>
      </c>
      <c r="O71" s="2">
        <f>DATE(YEAR(G71) + P71, MONTH(G71), DAY(G71))</f>
        <v>58111</v>
      </c>
      <c r="P71">
        <v>64</v>
      </c>
      <c r="Q71" s="2"/>
      <c r="R71" t="s">
        <v>47</v>
      </c>
      <c r="S71" t="s">
        <v>48</v>
      </c>
      <c r="T71" s="2">
        <v>39039</v>
      </c>
      <c r="U71" t="s">
        <v>49</v>
      </c>
      <c r="V71" t="s">
        <v>66</v>
      </c>
      <c r="W71">
        <v>13</v>
      </c>
      <c r="X71" s="1">
        <v>70632</v>
      </c>
      <c r="Y71" s="1">
        <v>14126.400000000001</v>
      </c>
      <c r="Z71" s="1">
        <v>56505.599999999999</v>
      </c>
      <c r="AA71" s="3">
        <v>258</v>
      </c>
      <c r="AK71" s="3"/>
      <c r="AO71" s="4"/>
      <c r="BA71" s="2"/>
      <c r="BB71" s="2"/>
      <c r="BD71" s="4"/>
      <c r="BF71" s="4"/>
      <c r="BM71" s="2"/>
      <c r="BO71" s="4"/>
      <c r="BQ71" s="4"/>
      <c r="CI71" s="2"/>
      <c r="CJ71" s="2"/>
      <c r="CN71" s="2"/>
      <c r="CQ71" s="2"/>
      <c r="CV71" s="4"/>
      <c r="CX71" s="4"/>
      <c r="DB71" s="2"/>
      <c r="DC71" s="2"/>
      <c r="DE71" s="2"/>
      <c r="DF71" s="2"/>
      <c r="DV71" s="2"/>
      <c r="DW71" s="2"/>
      <c r="EF71" s="4"/>
      <c r="EH71" s="4"/>
      <c r="ER71" s="2"/>
      <c r="ES71" s="2"/>
      <c r="FQ71" s="4"/>
      <c r="FS71" s="4"/>
      <c r="GJ71" s="4"/>
      <c r="GL71" s="4"/>
      <c r="GR71" s="2"/>
      <c r="GT71" s="3"/>
      <c r="GU71" s="3"/>
      <c r="GV71" s="2"/>
      <c r="HB71" s="3"/>
      <c r="HP71" s="2"/>
      <c r="HS71" s="4"/>
      <c r="HU71" s="4"/>
      <c r="II71" s="4"/>
      <c r="IK71" s="4"/>
      <c r="IS71" s="2"/>
      <c r="IT71" s="2"/>
      <c r="IV71" s="2"/>
      <c r="IW71" s="4"/>
      <c r="IY71" s="4"/>
      <c r="JH71" s="2"/>
      <c r="JK71" s="4"/>
      <c r="JM71" s="4"/>
      <c r="JZ71" s="2"/>
      <c r="KA71" s="3"/>
      <c r="KD71" s="4"/>
      <c r="KF71" s="4"/>
      <c r="KJ71" s="4"/>
      <c r="KT71" s="2"/>
      <c r="KU71" s="2"/>
      <c r="KW71" s="2"/>
      <c r="LC71" s="2"/>
      <c r="LF71" s="2"/>
      <c r="LK71" s="2"/>
      <c r="LT71" s="4"/>
      <c r="LV71" s="4"/>
      <c r="MC71" s="3"/>
      <c r="NB71" s="2"/>
      <c r="NC71" s="2"/>
      <c r="NJ71" s="2"/>
      <c r="NN71" s="2"/>
      <c r="NO71" s="2"/>
      <c r="NT71" s="4"/>
      <c r="NV71" s="4"/>
      <c r="OA71" s="2"/>
      <c r="OB71" s="2"/>
      <c r="ON71" s="2"/>
      <c r="OR71" s="4"/>
      <c r="OT71" s="4"/>
      <c r="PH71" s="2"/>
      <c r="PQ71" s="2"/>
      <c r="PX71" s="2"/>
      <c r="PZ71" s="2"/>
      <c r="QF71" s="4"/>
      <c r="QH71" s="4"/>
      <c r="QJ71" s="3"/>
      <c r="QZ71" s="2"/>
      <c r="RA71" s="2"/>
      <c r="RO71" s="4"/>
      <c r="RR71" s="2"/>
      <c r="RT71" s="2"/>
      <c r="RU71" s="2"/>
      <c r="SA71" s="4"/>
      <c r="SC71" s="4"/>
      <c r="SN71" s="2"/>
      <c r="SS71" s="4"/>
      <c r="TG71" s="2"/>
      <c r="TH71" s="2"/>
      <c r="TI71" s="2"/>
      <c r="TU71" s="4"/>
      <c r="TW71" s="4"/>
    </row>
    <row r="72" spans="1:543">
      <c r="A72">
        <v>9492</v>
      </c>
      <c r="B72">
        <v>9212</v>
      </c>
      <c r="C72">
        <v>8790497966</v>
      </c>
      <c r="D72" t="s">
        <v>228</v>
      </c>
      <c r="E72" t="s">
        <v>391</v>
      </c>
      <c r="F72" t="s">
        <v>392</v>
      </c>
      <c r="G72" s="2">
        <v>40454</v>
      </c>
      <c r="H72" t="s">
        <v>30</v>
      </c>
      <c r="I72" t="s">
        <v>169</v>
      </c>
      <c r="J72" t="s">
        <v>32</v>
      </c>
      <c r="K72" t="s">
        <v>393</v>
      </c>
      <c r="L72" t="s">
        <v>95</v>
      </c>
      <c r="M72" s="2"/>
      <c r="N72" t="s">
        <v>394</v>
      </c>
      <c r="O72" s="2">
        <f>DATE(YEAR(G72) + P72, MONTH(G72), DAY(G72))</f>
        <v>62734</v>
      </c>
      <c r="P72">
        <v>61</v>
      </c>
      <c r="Q72" s="2">
        <v>43051</v>
      </c>
      <c r="R72" t="s">
        <v>36</v>
      </c>
      <c r="S72" t="s">
        <v>181</v>
      </c>
      <c r="T72" t="s">
        <v>395</v>
      </c>
      <c r="U72" t="s">
        <v>65</v>
      </c>
      <c r="V72" t="s">
        <v>66</v>
      </c>
      <c r="W72">
        <v>13</v>
      </c>
      <c r="X72" s="1">
        <v>5738</v>
      </c>
      <c r="Y72" s="1">
        <v>1147.6000000000001</v>
      </c>
      <c r="Z72" s="1">
        <v>4590.3999999999996</v>
      </c>
      <c r="AA72" s="3">
        <v>130</v>
      </c>
      <c r="AJ72" s="3"/>
      <c r="AK72" s="3"/>
      <c r="AM72" s="4"/>
      <c r="AO72" s="4"/>
      <c r="BA72" s="2"/>
      <c r="BD72" s="4"/>
      <c r="BF72" s="4"/>
      <c r="BM72" s="2"/>
      <c r="BO72" s="4"/>
      <c r="BQ72" s="4"/>
      <c r="CJ72" s="2"/>
      <c r="CN72" s="2"/>
      <c r="CQ72" s="2"/>
      <c r="CV72" s="4"/>
      <c r="DB72" s="2"/>
      <c r="DC72" s="2"/>
      <c r="DE72" s="2"/>
      <c r="DF72" s="2"/>
      <c r="DV72" s="2"/>
      <c r="DW72" s="2"/>
      <c r="EF72" s="4"/>
      <c r="EH72" s="4"/>
      <c r="ER72" s="2"/>
      <c r="ES72" s="2"/>
      <c r="EX72" s="4"/>
      <c r="EZ72" s="4"/>
      <c r="FQ72" s="4"/>
      <c r="FS72" s="4"/>
      <c r="GE72" s="2"/>
      <c r="GJ72" s="4"/>
      <c r="GL72" s="4"/>
      <c r="GR72" s="2"/>
      <c r="GV72" s="2"/>
      <c r="GX72" s="3"/>
      <c r="GY72" s="3"/>
      <c r="HB72" s="3"/>
      <c r="HP72" s="2"/>
      <c r="HS72" s="4"/>
      <c r="HU72" s="4"/>
      <c r="II72" s="4"/>
      <c r="IK72" s="4"/>
      <c r="IS72" s="2"/>
      <c r="IT72" s="2"/>
      <c r="IV72" s="2"/>
      <c r="IW72" s="4"/>
      <c r="IY72" s="4"/>
      <c r="JH72" s="2"/>
      <c r="JK72" s="4"/>
      <c r="JM72" s="4"/>
      <c r="JZ72" s="2"/>
      <c r="KA72" s="3"/>
      <c r="KD72" s="4"/>
      <c r="KF72" s="4"/>
      <c r="KJ72" s="4"/>
      <c r="KT72" s="2"/>
      <c r="KU72" s="2"/>
      <c r="KW72" s="2"/>
      <c r="LC72" s="2"/>
      <c r="LF72" s="2"/>
      <c r="LK72" s="2"/>
      <c r="LT72" s="4"/>
      <c r="LV72" s="4"/>
      <c r="LZ72" s="3"/>
      <c r="NB72" s="2"/>
      <c r="NC72" s="2"/>
      <c r="NJ72" s="2"/>
      <c r="NO72" s="2"/>
      <c r="NQ72" s="3"/>
      <c r="NT72" s="4"/>
      <c r="OA72" s="2"/>
      <c r="OB72" s="2"/>
      <c r="ON72" s="2"/>
      <c r="OR72" s="4"/>
      <c r="OT72" s="4"/>
      <c r="PD72" s="2"/>
      <c r="PH72" s="2"/>
      <c r="PN72" s="3"/>
      <c r="PQ72" s="2"/>
      <c r="PX72" s="2"/>
      <c r="PZ72" s="2"/>
      <c r="QF72" s="4"/>
      <c r="QH72" s="4"/>
      <c r="QZ72" s="2"/>
      <c r="RA72" s="2"/>
      <c r="RN72" s="4"/>
      <c r="RO72" s="4"/>
      <c r="RR72" s="2"/>
      <c r="RU72" s="2"/>
      <c r="SA72" s="4"/>
      <c r="SC72" s="4"/>
      <c r="SN72" s="2"/>
      <c r="SQ72" s="4"/>
      <c r="SS72" s="4"/>
      <c r="TG72" s="2"/>
      <c r="TH72" s="2"/>
      <c r="TI72" s="2"/>
      <c r="TU72" s="4"/>
      <c r="TW72" s="4"/>
    </row>
    <row r="73" spans="1:543">
      <c r="A73">
        <v>6576</v>
      </c>
      <c r="B73">
        <v>9080</v>
      </c>
      <c r="C73">
        <v>9538597666</v>
      </c>
      <c r="D73" t="s">
        <v>40</v>
      </c>
      <c r="E73" t="s">
        <v>396</v>
      </c>
      <c r="F73" t="s">
        <v>397</v>
      </c>
      <c r="G73" s="2">
        <v>33951</v>
      </c>
      <c r="H73" t="s">
        <v>43</v>
      </c>
      <c r="I73" t="s">
        <v>260</v>
      </c>
      <c r="J73" t="s">
        <v>32</v>
      </c>
      <c r="K73" t="s">
        <v>398</v>
      </c>
      <c r="L73" t="s">
        <v>34</v>
      </c>
      <c r="M73" s="2"/>
      <c r="N73" t="s">
        <v>399</v>
      </c>
      <c r="O73" s="2">
        <f>DATE(YEAR(G73) + P73, MONTH(G73), DAY(G73))</f>
        <v>58422</v>
      </c>
      <c r="P73">
        <v>67</v>
      </c>
      <c r="Q73" s="2">
        <v>45965</v>
      </c>
      <c r="R73" t="s">
        <v>36</v>
      </c>
      <c r="S73" t="s">
        <v>109</v>
      </c>
      <c r="T73" s="2">
        <v>38352</v>
      </c>
      <c r="U73" t="s">
        <v>65</v>
      </c>
      <c r="V73" t="s">
        <v>66</v>
      </c>
      <c r="W73">
        <v>5</v>
      </c>
      <c r="X73" s="1">
        <v>75427</v>
      </c>
      <c r="Y73" s="1">
        <v>15085.400000000001</v>
      </c>
      <c r="Z73" s="1">
        <v>60341.599999999999</v>
      </c>
      <c r="AA73" s="3">
        <v>938</v>
      </c>
      <c r="AK73" s="3"/>
      <c r="AM73" s="4"/>
      <c r="AO73" s="4"/>
      <c r="BA73" s="2"/>
      <c r="BB73" s="2"/>
      <c r="BD73" s="4"/>
      <c r="BF73" s="4"/>
      <c r="BM73" s="2"/>
      <c r="BO73" s="4"/>
      <c r="BQ73" s="4"/>
      <c r="CF73" s="3"/>
      <c r="CI73" s="2"/>
      <c r="CJ73" s="2"/>
      <c r="CN73" s="2"/>
      <c r="CQ73" s="2"/>
      <c r="CV73" s="4"/>
      <c r="CX73" s="4"/>
      <c r="DB73" s="2"/>
      <c r="DC73" s="2"/>
      <c r="DE73" s="2"/>
      <c r="DF73" s="2"/>
      <c r="DV73" s="2"/>
      <c r="DW73" s="2"/>
      <c r="EH73" s="4"/>
      <c r="ER73" s="2"/>
      <c r="EX73" s="4"/>
      <c r="EZ73" s="4"/>
      <c r="FS73" s="4"/>
      <c r="GE73" s="2"/>
      <c r="GJ73" s="4"/>
      <c r="GL73" s="4"/>
      <c r="GR73" s="2"/>
      <c r="GS73" s="3"/>
      <c r="GT73" s="3"/>
      <c r="GV73" s="2"/>
      <c r="HB73" s="3"/>
      <c r="HP73" s="2"/>
      <c r="HQ73" s="3"/>
      <c r="HS73" s="4"/>
      <c r="HU73" s="4"/>
      <c r="IF73" s="3"/>
      <c r="II73" s="4"/>
      <c r="IS73" s="2"/>
      <c r="IT73" s="2"/>
      <c r="IV73" s="2"/>
      <c r="IW73" s="4"/>
      <c r="IY73" s="4"/>
      <c r="JH73" s="2"/>
      <c r="JK73" s="4"/>
      <c r="JM73" s="4"/>
      <c r="JZ73" s="2"/>
      <c r="KF73" s="4"/>
      <c r="KJ73" s="4"/>
      <c r="KT73" s="2"/>
      <c r="KU73" s="2"/>
      <c r="KW73" s="2"/>
      <c r="LC73" s="2"/>
      <c r="LF73" s="2"/>
      <c r="LK73" s="2"/>
      <c r="LT73" s="4"/>
      <c r="LV73" s="4"/>
      <c r="NB73" s="2"/>
      <c r="NC73" s="2"/>
      <c r="NJ73" s="2"/>
      <c r="NN73" s="2"/>
      <c r="NO73" s="2"/>
      <c r="NV73" s="4"/>
      <c r="OA73" s="2"/>
      <c r="OB73" s="2"/>
      <c r="ON73" s="2"/>
      <c r="OO73" s="3"/>
      <c r="OR73" s="4"/>
      <c r="OT73" s="4"/>
      <c r="PD73" s="2"/>
      <c r="PH73" s="2"/>
      <c r="PQ73" s="2"/>
      <c r="PX73" s="2"/>
      <c r="PZ73" s="2"/>
      <c r="QF73" s="4"/>
      <c r="QH73" s="4"/>
      <c r="RA73" s="2"/>
      <c r="RN73" s="4"/>
      <c r="RO73" s="4"/>
      <c r="RR73" s="2"/>
      <c r="RT73" s="2"/>
      <c r="RU73" s="2"/>
      <c r="SA73" s="4"/>
      <c r="SC73" s="4"/>
      <c r="SN73" s="2"/>
      <c r="SQ73" s="4"/>
      <c r="SS73" s="4"/>
      <c r="TG73" s="2"/>
      <c r="TU73" s="4"/>
      <c r="TW73" s="4"/>
    </row>
    <row r="74" spans="1:543">
      <c r="A74">
        <v>2566</v>
      </c>
      <c r="B74">
        <v>4163</v>
      </c>
      <c r="C74">
        <v>7642730558</v>
      </c>
      <c r="D74" t="s">
        <v>172</v>
      </c>
      <c r="E74" t="s">
        <v>400</v>
      </c>
      <c r="F74" t="s">
        <v>401</v>
      </c>
      <c r="G74" s="2">
        <v>40542</v>
      </c>
      <c r="H74" t="s">
        <v>43</v>
      </c>
      <c r="I74" t="s">
        <v>279</v>
      </c>
      <c r="J74" t="s">
        <v>32</v>
      </c>
      <c r="K74" t="s">
        <v>402</v>
      </c>
      <c r="L74" t="s">
        <v>77</v>
      </c>
      <c r="M74" s="2"/>
      <c r="N74" t="s">
        <v>403</v>
      </c>
      <c r="O74" s="2">
        <f>DATE(YEAR(G74) + P74, MONTH(G74), DAY(G74))</f>
        <v>64283</v>
      </c>
      <c r="P74">
        <v>65</v>
      </c>
      <c r="Q74" s="2"/>
      <c r="R74" t="s">
        <v>47</v>
      </c>
      <c r="S74" t="s">
        <v>64</v>
      </c>
      <c r="T74" s="2">
        <v>44043</v>
      </c>
      <c r="U74" t="s">
        <v>49</v>
      </c>
      <c r="V74" t="s">
        <v>56</v>
      </c>
      <c r="W74">
        <v>17</v>
      </c>
      <c r="X74" s="1">
        <v>74768</v>
      </c>
      <c r="Y74" s="1">
        <v>14953.6</v>
      </c>
      <c r="Z74" s="1">
        <v>59814.400000000001</v>
      </c>
      <c r="AA74" s="3">
        <v>748</v>
      </c>
      <c r="AK74" s="3"/>
      <c r="AM74" s="4"/>
      <c r="AO74" s="4"/>
      <c r="BA74" s="2"/>
      <c r="BB74" s="2"/>
      <c r="BD74" s="4"/>
      <c r="BF74" s="4"/>
      <c r="BM74" s="2"/>
      <c r="BO74" s="4"/>
      <c r="BQ74" s="4"/>
      <c r="CH74" s="3"/>
      <c r="CI74" s="2"/>
      <c r="CJ74" s="2"/>
      <c r="CN74" s="2"/>
      <c r="CQ74" s="2"/>
      <c r="CV74" s="4"/>
      <c r="CX74" s="4"/>
      <c r="DB74" s="2"/>
      <c r="DC74" s="2"/>
      <c r="DE74" s="2"/>
      <c r="DF74" s="2"/>
      <c r="DV74" s="2"/>
      <c r="DW74" s="2"/>
      <c r="DX74" s="3"/>
      <c r="EC74" s="3"/>
      <c r="EH74" s="4"/>
      <c r="ER74" s="2"/>
      <c r="ES74" s="2"/>
      <c r="EX74" s="4"/>
      <c r="EZ74" s="4"/>
      <c r="FQ74" s="4"/>
      <c r="FS74" s="4"/>
      <c r="GE74" s="2"/>
      <c r="GJ74" s="4"/>
      <c r="GL74" s="4"/>
      <c r="GR74" s="2"/>
      <c r="GT74" s="3"/>
      <c r="GV74" s="2"/>
      <c r="GW74" s="3"/>
      <c r="GX74" s="3"/>
      <c r="HB74" s="3"/>
      <c r="HP74" s="2"/>
      <c r="HU74" s="4"/>
      <c r="II74" s="4"/>
      <c r="IK74" s="4"/>
      <c r="IS74" s="2"/>
      <c r="IT74" s="2"/>
      <c r="IV74" s="2"/>
      <c r="IY74" s="4"/>
      <c r="JH74" s="2"/>
      <c r="JK74" s="4"/>
      <c r="JZ74" s="2"/>
      <c r="KD74" s="4"/>
      <c r="KF74" s="4"/>
      <c r="KJ74" s="4"/>
      <c r="KT74" s="2"/>
      <c r="KU74" s="2"/>
      <c r="KW74" s="2"/>
      <c r="LC74" s="2"/>
      <c r="LF74" s="2"/>
      <c r="LK74" s="2"/>
      <c r="LT74" s="4"/>
      <c r="LV74" s="4"/>
      <c r="MC74" s="3"/>
      <c r="NB74" s="2"/>
      <c r="NC74" s="2"/>
      <c r="NJ74" s="2"/>
      <c r="NN74" s="2"/>
      <c r="NT74" s="4"/>
      <c r="NV74" s="4"/>
      <c r="OA74" s="2"/>
      <c r="OB74" s="2"/>
      <c r="OJ74" s="3"/>
      <c r="ON74" s="2"/>
      <c r="OR74" s="4"/>
      <c r="OT74" s="4"/>
      <c r="PQ74" s="2"/>
      <c r="PX74" s="2"/>
      <c r="PZ74" s="2"/>
      <c r="QF74" s="4"/>
      <c r="QH74" s="4"/>
      <c r="QZ74" s="2"/>
      <c r="RA74" s="2"/>
      <c r="RO74" s="4"/>
      <c r="RR74" s="2"/>
      <c r="RU74" s="2"/>
      <c r="SA74" s="4"/>
      <c r="SC74" s="4"/>
      <c r="SN74" s="2"/>
      <c r="SQ74" s="4"/>
      <c r="SS74" s="4"/>
      <c r="TG74" s="2"/>
      <c r="TH74" s="2"/>
      <c r="TI74" s="2"/>
      <c r="TU74" s="4"/>
      <c r="TW74" s="4"/>
    </row>
    <row r="75" spans="1:543">
      <c r="A75">
        <v>7484</v>
      </c>
      <c r="B75">
        <v>6119</v>
      </c>
      <c r="C75">
        <v>5817773662</v>
      </c>
      <c r="D75" t="s">
        <v>404</v>
      </c>
      <c r="E75" t="s">
        <v>405</v>
      </c>
      <c r="F75" t="s">
        <v>406</v>
      </c>
      <c r="G75" s="2">
        <v>36809</v>
      </c>
      <c r="H75" t="s">
        <v>43</v>
      </c>
      <c r="I75" t="s">
        <v>407</v>
      </c>
      <c r="J75" t="s">
        <v>61</v>
      </c>
      <c r="K75" t="s">
        <v>408</v>
      </c>
      <c r="L75" t="s">
        <v>34</v>
      </c>
      <c r="M75" s="2">
        <v>41365</v>
      </c>
      <c r="N75" t="s">
        <v>409</v>
      </c>
      <c r="O75" s="2">
        <f>DATE(YEAR(G75) + P75, MONTH(G75), DAY(G75))</f>
        <v>61646</v>
      </c>
      <c r="P75">
        <v>68</v>
      </c>
      <c r="Q75" s="2"/>
      <c r="R75" t="s">
        <v>47</v>
      </c>
      <c r="S75" t="s">
        <v>64</v>
      </c>
      <c r="T75" s="2">
        <v>42883</v>
      </c>
      <c r="U75" t="s">
        <v>103</v>
      </c>
      <c r="V75" t="s">
        <v>56</v>
      </c>
      <c r="W75">
        <v>23</v>
      </c>
      <c r="X75" s="1">
        <v>28039</v>
      </c>
      <c r="Y75" s="1">
        <v>5607.8</v>
      </c>
      <c r="Z75" s="1">
        <v>22431.200000000001</v>
      </c>
      <c r="AA75" s="3">
        <v>776</v>
      </c>
      <c r="AK75" s="3"/>
      <c r="AM75" s="4"/>
      <c r="AO75" s="4"/>
      <c r="BA75" s="2"/>
      <c r="BB75" s="2"/>
      <c r="BD75" s="4"/>
      <c r="BF75" s="4"/>
      <c r="BM75" s="2"/>
      <c r="BO75" s="4"/>
      <c r="CI75" s="2"/>
      <c r="CJ75" s="2"/>
      <c r="CM75" s="3"/>
      <c r="CN75" s="2"/>
      <c r="CQ75" s="2"/>
      <c r="CV75" s="4"/>
      <c r="CX75" s="4"/>
      <c r="DB75" s="2"/>
      <c r="DC75" s="2"/>
      <c r="DE75" s="2"/>
      <c r="DF75" s="2"/>
      <c r="DV75" s="2"/>
      <c r="DW75" s="2"/>
      <c r="EF75" s="4"/>
      <c r="ER75" s="2"/>
      <c r="ES75" s="2"/>
      <c r="EX75" s="4"/>
      <c r="EZ75" s="4"/>
      <c r="FQ75" s="4"/>
      <c r="FS75" s="4"/>
      <c r="GE75" s="2"/>
      <c r="GJ75" s="4"/>
      <c r="GL75" s="4"/>
      <c r="GR75" s="2"/>
      <c r="GT75" s="3"/>
      <c r="GV75" s="2"/>
      <c r="GY75" s="3"/>
      <c r="HP75" s="2"/>
      <c r="HS75" s="4"/>
      <c r="HU75" s="4"/>
      <c r="II75" s="4"/>
      <c r="IK75" s="4"/>
      <c r="IT75" s="2"/>
      <c r="IV75" s="2"/>
      <c r="IW75" s="4"/>
      <c r="IY75" s="4"/>
      <c r="JH75" s="2"/>
      <c r="JK75" s="4"/>
      <c r="JM75" s="4"/>
      <c r="JZ75" s="2"/>
      <c r="KC75" s="3"/>
      <c r="KD75" s="4"/>
      <c r="KF75" s="4"/>
      <c r="KJ75" s="4"/>
      <c r="KT75" s="2"/>
      <c r="KU75" s="2"/>
      <c r="KW75" s="2"/>
      <c r="LC75" s="2"/>
      <c r="LF75" s="2"/>
      <c r="LK75" s="2"/>
      <c r="LV75" s="4"/>
      <c r="MF75" s="3"/>
      <c r="NB75" s="2"/>
      <c r="NG75" s="5"/>
      <c r="NJ75" s="2"/>
      <c r="NN75" s="2"/>
      <c r="NO75" s="2"/>
      <c r="NP75" s="3"/>
      <c r="NT75" s="4"/>
      <c r="NV75" s="4"/>
      <c r="OA75" s="2"/>
      <c r="OB75" s="2"/>
      <c r="OJ75" s="3"/>
      <c r="ON75" s="2"/>
      <c r="OR75" s="4"/>
      <c r="PD75" s="2"/>
      <c r="PH75" s="2"/>
      <c r="PN75" s="3"/>
      <c r="PQ75" s="2"/>
      <c r="PX75" s="2"/>
      <c r="PZ75" s="2"/>
      <c r="QF75" s="4"/>
      <c r="QH75" s="4"/>
      <c r="QZ75" s="2"/>
      <c r="RA75" s="2"/>
      <c r="RN75" s="4"/>
      <c r="RO75" s="4"/>
      <c r="RR75" s="2"/>
      <c r="RT75" s="2"/>
      <c r="RU75" s="2"/>
      <c r="SA75" s="4"/>
      <c r="SC75" s="4"/>
      <c r="SN75" s="2"/>
      <c r="SQ75" s="4"/>
      <c r="SS75" s="4"/>
      <c r="TG75" s="2"/>
      <c r="TH75" s="2"/>
      <c r="TI75" s="2"/>
      <c r="TU75" s="4"/>
      <c r="TW75" s="4"/>
    </row>
    <row r="76" spans="1:543">
      <c r="A76">
        <v>5234</v>
      </c>
      <c r="B76">
        <v>231</v>
      </c>
      <c r="C76">
        <v>3689405576</v>
      </c>
      <c r="D76" t="s">
        <v>156</v>
      </c>
      <c r="E76" t="s">
        <v>410</v>
      </c>
      <c r="F76" t="s">
        <v>411</v>
      </c>
      <c r="G76" s="2">
        <v>40481</v>
      </c>
      <c r="H76" t="s">
        <v>30</v>
      </c>
      <c r="I76" t="s">
        <v>31</v>
      </c>
      <c r="J76" t="s">
        <v>61</v>
      </c>
      <c r="K76" t="s">
        <v>412</v>
      </c>
      <c r="L76" t="s">
        <v>77</v>
      </c>
      <c r="M76" s="2">
        <v>25688</v>
      </c>
      <c r="N76" t="s">
        <v>413</v>
      </c>
      <c r="O76" s="2">
        <f>DATE(YEAR(G76) + P76, MONTH(G76), DAY(G76))</f>
        <v>64953</v>
      </c>
      <c r="P76">
        <v>67</v>
      </c>
      <c r="Q76" s="2"/>
      <c r="R76" t="s">
        <v>47</v>
      </c>
      <c r="S76" t="s">
        <v>102</v>
      </c>
      <c r="T76" t="s">
        <v>414</v>
      </c>
      <c r="U76" t="s">
        <v>49</v>
      </c>
      <c r="V76" t="s">
        <v>39</v>
      </c>
      <c r="W76">
        <v>20</v>
      </c>
      <c r="X76" s="1">
        <v>32572</v>
      </c>
      <c r="Y76" s="1">
        <v>6514.4000000000005</v>
      </c>
      <c r="Z76" s="1">
        <v>26057.599999999999</v>
      </c>
      <c r="AA76" s="3">
        <v>1170</v>
      </c>
      <c r="AK76" s="3"/>
      <c r="AM76" s="4"/>
      <c r="AO76" s="4"/>
      <c r="BA76" s="2"/>
      <c r="BB76" s="2"/>
      <c r="BD76" s="4"/>
      <c r="BF76" s="4"/>
      <c r="BM76" s="2"/>
      <c r="BO76" s="4"/>
      <c r="BQ76" s="4"/>
      <c r="CI76" s="2"/>
      <c r="CJ76" s="2"/>
      <c r="CN76" s="2"/>
      <c r="CQ76" s="2"/>
      <c r="CV76" s="4"/>
      <c r="CX76" s="4"/>
      <c r="DA76" s="3"/>
      <c r="DB76" s="2"/>
      <c r="DC76" s="2"/>
      <c r="DE76" s="2"/>
      <c r="DF76" s="2"/>
      <c r="DG76" s="3"/>
      <c r="DV76" s="2"/>
      <c r="DW76" s="2"/>
      <c r="EF76" s="4"/>
      <c r="EH76" s="4"/>
      <c r="ER76" s="2"/>
      <c r="ES76" s="2"/>
      <c r="EX76" s="4"/>
      <c r="EZ76" s="4"/>
      <c r="FQ76" s="4"/>
      <c r="FS76" s="4"/>
      <c r="GE76" s="2"/>
      <c r="GJ76" s="4"/>
      <c r="GL76" s="4"/>
      <c r="GR76" s="2"/>
      <c r="GX76" s="3"/>
      <c r="HB76" s="3"/>
      <c r="HS76" s="4"/>
      <c r="HU76" s="4"/>
      <c r="II76" s="4"/>
      <c r="IK76" s="4"/>
      <c r="IS76" s="2"/>
      <c r="IT76" s="2"/>
      <c r="IV76" s="2"/>
      <c r="IW76" s="4"/>
      <c r="IY76" s="4"/>
      <c r="JH76" s="2"/>
      <c r="JK76" s="4"/>
      <c r="JM76" s="4"/>
      <c r="JZ76" s="2"/>
      <c r="KC76" s="3"/>
      <c r="KD76" s="4"/>
      <c r="KF76" s="4"/>
      <c r="KJ76" s="4"/>
      <c r="KT76" s="2"/>
      <c r="KU76" s="2"/>
      <c r="KW76" s="2"/>
      <c r="LC76" s="2"/>
      <c r="LF76" s="2"/>
      <c r="LT76" s="4"/>
      <c r="LV76" s="4"/>
      <c r="MB76" s="3"/>
      <c r="MI76" s="3"/>
      <c r="NB76" s="2"/>
      <c r="NC76" s="2"/>
      <c r="NG76" s="5"/>
      <c r="NJ76" s="2"/>
      <c r="NN76" s="2"/>
      <c r="NO76" s="2"/>
      <c r="NT76" s="4"/>
      <c r="NV76" s="4"/>
      <c r="OA76" s="2"/>
      <c r="OR76" s="4"/>
      <c r="OT76" s="4"/>
      <c r="PD76" s="2"/>
      <c r="PH76" s="2"/>
      <c r="PQ76" s="2"/>
      <c r="PX76" s="2"/>
      <c r="PZ76" s="2"/>
      <c r="QF76" s="4"/>
      <c r="QH76" s="4"/>
      <c r="RA76" s="2"/>
      <c r="RM76" s="3"/>
      <c r="RO76" s="4"/>
      <c r="RR76" s="2"/>
      <c r="RT76" s="2"/>
      <c r="RU76" s="2"/>
      <c r="SA76" s="4"/>
      <c r="SC76" s="4"/>
      <c r="SN76" s="2"/>
      <c r="SQ76" s="4"/>
      <c r="TG76" s="2"/>
      <c r="TH76" s="2"/>
      <c r="TI76" s="2"/>
      <c r="TU76" s="4"/>
      <c r="TW76" s="4"/>
    </row>
    <row r="77" spans="1:543">
      <c r="A77">
        <v>8328</v>
      </c>
      <c r="B77">
        <v>2016</v>
      </c>
      <c r="C77">
        <v>4406646570</v>
      </c>
      <c r="D77" t="s">
        <v>415</v>
      </c>
      <c r="E77" t="s">
        <v>416</v>
      </c>
      <c r="F77" t="s">
        <v>417</v>
      </c>
      <c r="G77" s="2">
        <v>38595</v>
      </c>
      <c r="H77" t="s">
        <v>30</v>
      </c>
      <c r="I77" t="s">
        <v>137</v>
      </c>
      <c r="J77" t="s">
        <v>32</v>
      </c>
      <c r="K77" t="s">
        <v>418</v>
      </c>
      <c r="L77" t="s">
        <v>95</v>
      </c>
      <c r="M77" s="2"/>
      <c r="N77" t="s">
        <v>419</v>
      </c>
      <c r="O77" s="2">
        <f>DATE(YEAR(G77) + P77, MONTH(G77), DAY(G77))</f>
        <v>60875</v>
      </c>
      <c r="P77">
        <v>61</v>
      </c>
      <c r="Q77" s="2"/>
      <c r="R77" t="s">
        <v>47</v>
      </c>
      <c r="S77" t="s">
        <v>102</v>
      </c>
      <c r="T77" t="s">
        <v>420</v>
      </c>
      <c r="U77" t="s">
        <v>38</v>
      </c>
      <c r="V77" t="s">
        <v>39</v>
      </c>
      <c r="W77">
        <v>8</v>
      </c>
      <c r="X77" s="1">
        <v>56783</v>
      </c>
      <c r="Y77" s="1">
        <v>11356.6</v>
      </c>
      <c r="Z77" s="1">
        <v>45426.400000000001</v>
      </c>
      <c r="AA77" s="3">
        <v>1396</v>
      </c>
      <c r="AK77" s="3"/>
      <c r="AM77" s="4"/>
      <c r="AO77" s="4"/>
      <c r="BA77" s="2"/>
      <c r="BB77" s="2"/>
      <c r="BD77" s="4"/>
      <c r="BM77" s="2"/>
      <c r="BO77" s="4"/>
      <c r="BQ77" s="4"/>
      <c r="CJ77" s="2"/>
      <c r="CL77" s="3"/>
      <c r="CQ77" s="2"/>
      <c r="CV77" s="4"/>
      <c r="CX77" s="4"/>
      <c r="DA77" s="3"/>
      <c r="DC77" s="2"/>
      <c r="DE77" s="2"/>
      <c r="DF77" s="2"/>
      <c r="DV77" s="2"/>
      <c r="DW77" s="2"/>
      <c r="DX77" s="3"/>
      <c r="EF77" s="4"/>
      <c r="EH77" s="4"/>
      <c r="ER77" s="2"/>
      <c r="ES77" s="2"/>
      <c r="EX77" s="4"/>
      <c r="EZ77" s="4"/>
      <c r="FQ77" s="4"/>
      <c r="FS77" s="4"/>
      <c r="GE77" s="2"/>
      <c r="GJ77" s="4"/>
      <c r="GL77" s="4"/>
      <c r="GR77" s="2"/>
      <c r="GS77" s="3"/>
      <c r="GV77" s="2"/>
      <c r="GW77" s="3"/>
      <c r="GX77" s="3"/>
      <c r="HB77" s="3"/>
      <c r="HP77" s="2"/>
      <c r="HS77" s="4"/>
      <c r="HU77" s="4"/>
      <c r="II77" s="4"/>
      <c r="IK77" s="4"/>
      <c r="IS77" s="2"/>
      <c r="IT77" s="2"/>
      <c r="IV77" s="2"/>
      <c r="IW77" s="4"/>
      <c r="IY77" s="4"/>
      <c r="JK77" s="4"/>
      <c r="JM77" s="4"/>
      <c r="JZ77" s="2"/>
      <c r="KD77" s="4"/>
      <c r="KF77" s="4"/>
      <c r="KT77" s="2"/>
      <c r="KW77" s="2"/>
      <c r="LC77" s="2"/>
      <c r="LF77" s="2"/>
      <c r="LK77" s="2"/>
      <c r="LT77" s="4"/>
      <c r="LV77" s="4"/>
      <c r="NB77" s="2"/>
      <c r="NC77" s="2"/>
      <c r="NJ77" s="2"/>
      <c r="NN77" s="2"/>
      <c r="NO77" s="2"/>
      <c r="NT77" s="4"/>
      <c r="NV77" s="4"/>
      <c r="OA77" s="2"/>
      <c r="OB77" s="2"/>
      <c r="OK77" s="3"/>
      <c r="OR77" s="4"/>
      <c r="OT77" s="4"/>
      <c r="PD77" s="2"/>
      <c r="PH77" s="2"/>
      <c r="PQ77" s="2"/>
      <c r="PX77" s="2"/>
      <c r="QF77" s="4"/>
      <c r="QH77" s="4"/>
      <c r="QZ77" s="2"/>
      <c r="RN77" s="4"/>
      <c r="RO77" s="4"/>
      <c r="RR77" s="2"/>
      <c r="RT77" s="2"/>
      <c r="RU77" s="2"/>
      <c r="SA77" s="4"/>
      <c r="SC77" s="4"/>
      <c r="SN77" s="2"/>
      <c r="SQ77" s="4"/>
      <c r="SS77" s="4"/>
      <c r="TG77" s="2"/>
      <c r="TH77" s="2"/>
      <c r="TI77" s="2"/>
      <c r="TU77" s="4"/>
      <c r="TW77" s="4"/>
    </row>
    <row r="78" spans="1:543">
      <c r="A78">
        <v>5700</v>
      </c>
      <c r="B78">
        <v>7927</v>
      </c>
      <c r="C78">
        <v>5723147489</v>
      </c>
      <c r="D78" t="s">
        <v>421</v>
      </c>
      <c r="E78" t="s">
        <v>422</v>
      </c>
      <c r="F78" t="s">
        <v>423</v>
      </c>
      <c r="G78" s="2">
        <v>35369</v>
      </c>
      <c r="H78" t="s">
        <v>30</v>
      </c>
      <c r="I78" t="s">
        <v>260</v>
      </c>
      <c r="J78" t="s">
        <v>32</v>
      </c>
      <c r="K78" t="s">
        <v>424</v>
      </c>
      <c r="L78" t="s">
        <v>34</v>
      </c>
      <c r="M78" s="2"/>
      <c r="N78" t="s">
        <v>425</v>
      </c>
      <c r="O78" s="2">
        <f>DATE(YEAR(G78) + P78, MONTH(G78), DAY(G78))</f>
        <v>58014</v>
      </c>
      <c r="P78">
        <v>62</v>
      </c>
      <c r="Q78" s="2"/>
      <c r="R78" t="s">
        <v>47</v>
      </c>
      <c r="S78" t="s">
        <v>102</v>
      </c>
      <c r="T78" s="2">
        <v>37076</v>
      </c>
      <c r="U78" t="s">
        <v>49</v>
      </c>
      <c r="V78" t="s">
        <v>56</v>
      </c>
      <c r="W78">
        <v>22</v>
      </c>
      <c r="X78" s="1">
        <v>72885</v>
      </c>
      <c r="Y78" s="1">
        <v>14577</v>
      </c>
      <c r="Z78" s="1">
        <v>58308</v>
      </c>
      <c r="AA78" s="3">
        <v>176</v>
      </c>
      <c r="AK78" s="3"/>
      <c r="AO78" s="4"/>
      <c r="BA78" s="2"/>
      <c r="BB78" s="2"/>
      <c r="BD78" s="4"/>
      <c r="BF78" s="4"/>
      <c r="BM78" s="2"/>
      <c r="BO78" s="4"/>
      <c r="BQ78" s="4"/>
      <c r="CI78" s="2"/>
      <c r="CJ78" s="2"/>
      <c r="CN78" s="2"/>
      <c r="CP78" s="3"/>
      <c r="CQ78" s="2"/>
      <c r="CV78" s="4"/>
      <c r="CX78" s="4"/>
      <c r="CZ78" s="3"/>
      <c r="DB78" s="2"/>
      <c r="DC78" s="2"/>
      <c r="DE78" s="2"/>
      <c r="DF78" s="2"/>
      <c r="DV78" s="2"/>
      <c r="DW78" s="2"/>
      <c r="EF78" s="4"/>
      <c r="EH78" s="4"/>
      <c r="ER78" s="2"/>
      <c r="ES78" s="2"/>
      <c r="EX78" s="4"/>
      <c r="EZ78" s="4"/>
      <c r="FQ78" s="4"/>
      <c r="FS78" s="4"/>
      <c r="GE78" s="2"/>
      <c r="GJ78" s="4"/>
      <c r="GL78" s="4"/>
      <c r="GR78" s="2"/>
      <c r="GS78" s="3"/>
      <c r="GU78" s="3"/>
      <c r="GV78" s="2"/>
      <c r="GX78" s="3"/>
      <c r="HB78" s="3"/>
      <c r="HP78" s="2"/>
      <c r="HS78" s="4"/>
      <c r="HU78" s="4"/>
      <c r="II78" s="4"/>
      <c r="IK78" s="4"/>
      <c r="IS78" s="2"/>
      <c r="IT78" s="2"/>
      <c r="IV78" s="2"/>
      <c r="IW78" s="4"/>
      <c r="IY78" s="4"/>
      <c r="JH78" s="2"/>
      <c r="JK78" s="4"/>
      <c r="JM78" s="4"/>
      <c r="JZ78" s="2"/>
      <c r="KD78" s="4"/>
      <c r="KF78" s="4"/>
      <c r="KJ78" s="4"/>
      <c r="KT78" s="2"/>
      <c r="KU78" s="2"/>
      <c r="KW78" s="2"/>
      <c r="LC78" s="2"/>
      <c r="LF78" s="2"/>
      <c r="LK78" s="2"/>
      <c r="LT78" s="4"/>
      <c r="LV78" s="4"/>
      <c r="NB78" s="2"/>
      <c r="NC78" s="2"/>
      <c r="NH78" s="3"/>
      <c r="NJ78" s="2"/>
      <c r="NM78" s="3"/>
      <c r="NN78" s="2"/>
      <c r="NO78" s="2"/>
      <c r="NT78" s="4"/>
      <c r="NV78" s="4"/>
      <c r="OA78" s="2"/>
      <c r="OB78" s="2"/>
      <c r="ON78" s="2"/>
      <c r="OR78" s="4"/>
      <c r="OT78" s="4"/>
      <c r="PD78" s="2"/>
      <c r="PH78" s="2"/>
      <c r="PQ78" s="2"/>
      <c r="PX78" s="2"/>
      <c r="PZ78" s="2"/>
      <c r="QF78" s="4"/>
      <c r="QH78" s="4"/>
      <c r="QZ78" s="2"/>
      <c r="RA78" s="2"/>
      <c r="RN78" s="4"/>
      <c r="RO78" s="4"/>
      <c r="RT78" s="2"/>
      <c r="RU78" s="2"/>
      <c r="SA78" s="4"/>
      <c r="SC78" s="4"/>
      <c r="SN78" s="2"/>
      <c r="SQ78" s="4"/>
      <c r="SS78" s="4"/>
      <c r="TG78" s="2"/>
      <c r="TH78" s="2"/>
      <c r="TI78" s="2"/>
      <c r="TU78" s="4"/>
      <c r="TW78" s="4"/>
    </row>
    <row r="79" spans="1:543">
      <c r="A79">
        <v>7725</v>
      </c>
      <c r="B79">
        <v>7241</v>
      </c>
      <c r="C79">
        <v>3027073566</v>
      </c>
      <c r="D79" t="s">
        <v>426</v>
      </c>
      <c r="E79" t="s">
        <v>427</v>
      </c>
      <c r="F79" t="s">
        <v>428</v>
      </c>
      <c r="G79" s="2">
        <v>35185</v>
      </c>
      <c r="H79" t="s">
        <v>43</v>
      </c>
      <c r="I79" t="s">
        <v>143</v>
      </c>
      <c r="J79" t="s">
        <v>61</v>
      </c>
      <c r="K79" t="s">
        <v>429</v>
      </c>
      <c r="L79" t="s">
        <v>77</v>
      </c>
      <c r="M79" s="2">
        <v>38973</v>
      </c>
      <c r="N79" t="s">
        <v>430</v>
      </c>
      <c r="O79" s="2">
        <f>DATE(YEAR(G79) + P79, MONTH(G79), DAY(G79))</f>
        <v>60022</v>
      </c>
      <c r="P79">
        <v>68</v>
      </c>
      <c r="Q79" s="2"/>
      <c r="R79" t="s">
        <v>47</v>
      </c>
      <c r="S79" t="s">
        <v>37</v>
      </c>
      <c r="T79" s="2">
        <v>37318</v>
      </c>
      <c r="U79" t="s">
        <v>49</v>
      </c>
      <c r="V79" t="s">
        <v>66</v>
      </c>
      <c r="W79">
        <v>4</v>
      </c>
      <c r="X79" s="1">
        <v>57409</v>
      </c>
      <c r="Y79" s="1">
        <v>11481.800000000001</v>
      </c>
      <c r="Z79" s="1">
        <v>45927.199999999997</v>
      </c>
      <c r="AA79" s="3">
        <v>1762</v>
      </c>
      <c r="AK79" s="3"/>
      <c r="AM79" s="4"/>
      <c r="AO79" s="4"/>
      <c r="BA79" s="2"/>
      <c r="BB79" s="2"/>
      <c r="BD79" s="4"/>
      <c r="BF79" s="4"/>
      <c r="BM79" s="2"/>
      <c r="BQ79" s="4"/>
      <c r="CH79" s="3"/>
      <c r="CI79" s="2"/>
      <c r="CJ79" s="2"/>
      <c r="CN79" s="2"/>
      <c r="CQ79" s="2"/>
      <c r="CV79" s="4"/>
      <c r="DB79" s="2"/>
      <c r="DC79" s="2"/>
      <c r="DE79" s="2"/>
      <c r="DF79" s="2"/>
      <c r="DV79" s="2"/>
      <c r="DW79" s="2"/>
      <c r="EF79" s="4"/>
      <c r="EH79" s="4"/>
      <c r="ER79" s="2"/>
      <c r="ES79" s="2"/>
      <c r="EU79" s="3"/>
      <c r="EX79" s="4"/>
      <c r="EZ79" s="4"/>
      <c r="FQ79" s="4"/>
      <c r="FS79" s="4"/>
      <c r="GE79" s="2"/>
      <c r="GJ79" s="4"/>
      <c r="GS79" s="3"/>
      <c r="GU79" s="3"/>
      <c r="GY79" s="3"/>
      <c r="HB79" s="3"/>
      <c r="HP79" s="2"/>
      <c r="HS79" s="4"/>
      <c r="HU79" s="4"/>
      <c r="II79" s="4"/>
      <c r="IK79" s="4"/>
      <c r="IS79" s="2"/>
      <c r="IT79" s="2"/>
      <c r="IV79" s="2"/>
      <c r="IW79" s="4"/>
      <c r="IY79" s="4"/>
      <c r="JH79" s="2"/>
      <c r="JK79" s="4"/>
      <c r="JZ79" s="2"/>
      <c r="KD79" s="4"/>
      <c r="KF79" s="4"/>
      <c r="KJ79" s="4"/>
      <c r="KT79" s="2"/>
      <c r="KU79" s="2"/>
      <c r="KW79" s="2"/>
      <c r="LC79" s="2"/>
      <c r="LF79" s="2"/>
      <c r="LK79" s="2"/>
      <c r="LT79" s="4"/>
      <c r="LV79" s="4"/>
      <c r="MA79" s="3"/>
      <c r="NB79" s="2"/>
      <c r="NC79" s="2"/>
      <c r="NJ79" s="2"/>
      <c r="NN79" s="2"/>
      <c r="NO79" s="2"/>
      <c r="NT79" s="4"/>
      <c r="NV79" s="4"/>
      <c r="OA79" s="2"/>
      <c r="ON79" s="2"/>
      <c r="OR79" s="4"/>
      <c r="OT79" s="4"/>
      <c r="PD79" s="2"/>
      <c r="PH79" s="2"/>
      <c r="PQ79" s="2"/>
      <c r="PX79" s="2"/>
      <c r="PY79" s="3"/>
      <c r="PZ79" s="2"/>
      <c r="QF79" s="4"/>
      <c r="QH79" s="4"/>
      <c r="QZ79" s="2"/>
      <c r="RA79" s="2"/>
      <c r="RN79" s="4"/>
      <c r="RO79" s="4"/>
      <c r="RR79" s="2"/>
      <c r="RT79" s="2"/>
      <c r="RU79" s="2"/>
      <c r="SA79" s="4"/>
      <c r="SC79" s="4"/>
      <c r="SN79" s="2"/>
      <c r="SQ79" s="4"/>
      <c r="SS79" s="4"/>
      <c r="TG79" s="2"/>
      <c r="TH79" s="2"/>
      <c r="TI79" s="2"/>
      <c r="TU79" s="4"/>
      <c r="TW79" s="4"/>
    </row>
    <row r="80" spans="1:543">
      <c r="A80">
        <v>2598</v>
      </c>
      <c r="B80">
        <v>4494</v>
      </c>
      <c r="C80">
        <v>1951435961</v>
      </c>
      <c r="D80" t="s">
        <v>121</v>
      </c>
      <c r="E80" t="s">
        <v>431</v>
      </c>
      <c r="F80" t="s">
        <v>432</v>
      </c>
      <c r="G80" s="2">
        <v>33603</v>
      </c>
      <c r="H80" t="s">
        <v>30</v>
      </c>
      <c r="I80" t="s">
        <v>130</v>
      </c>
      <c r="J80" t="s">
        <v>32</v>
      </c>
      <c r="K80" t="s">
        <v>433</v>
      </c>
      <c r="L80" t="s">
        <v>95</v>
      </c>
      <c r="M80" s="2"/>
      <c r="N80" t="s">
        <v>434</v>
      </c>
      <c r="O80" s="2">
        <f>DATE(YEAR(G80) + P80, MONTH(G80), DAY(G80))</f>
        <v>57710</v>
      </c>
      <c r="P80">
        <v>66</v>
      </c>
      <c r="Q80" s="2">
        <v>45596</v>
      </c>
      <c r="R80" t="s">
        <v>36</v>
      </c>
      <c r="S80" t="s">
        <v>48</v>
      </c>
      <c r="T80" s="2">
        <v>45626</v>
      </c>
      <c r="U80" t="s">
        <v>65</v>
      </c>
      <c r="V80" t="s">
        <v>66</v>
      </c>
      <c r="W80">
        <v>18</v>
      </c>
      <c r="X80" s="1">
        <v>59792</v>
      </c>
      <c r="Y80" s="1">
        <v>11958.400000000001</v>
      </c>
      <c r="Z80" s="1">
        <v>47833.599999999999</v>
      </c>
      <c r="AA80" s="3">
        <v>1476</v>
      </c>
      <c r="AK80" s="3"/>
      <c r="AM80" s="4"/>
      <c r="AO80" s="4"/>
      <c r="BA80" s="2"/>
      <c r="BB80" s="2"/>
      <c r="BD80" s="4"/>
      <c r="BF80" s="4"/>
      <c r="BM80" s="2"/>
      <c r="BO80" s="4"/>
      <c r="BQ80" s="4"/>
      <c r="CF80" s="3"/>
      <c r="CI80" s="2"/>
      <c r="CJ80" s="2"/>
      <c r="CN80" s="2"/>
      <c r="CQ80" s="2"/>
      <c r="CV80" s="4"/>
      <c r="CX80" s="4"/>
      <c r="DB80" s="2"/>
      <c r="DC80" s="2"/>
      <c r="DE80" s="2"/>
      <c r="DF80" s="2"/>
      <c r="DV80" s="2"/>
      <c r="DW80" s="2"/>
      <c r="EF80" s="4"/>
      <c r="EH80" s="4"/>
      <c r="ER80" s="2"/>
      <c r="ES80" s="2"/>
      <c r="EX80" s="4"/>
      <c r="EZ80" s="4"/>
      <c r="FQ80" s="4"/>
      <c r="FS80" s="4"/>
      <c r="GE80" s="2"/>
      <c r="GG80" s="3"/>
      <c r="GJ80" s="4"/>
      <c r="GL80" s="4"/>
      <c r="GR80" s="2"/>
      <c r="GT80" s="3"/>
      <c r="GU80" s="3"/>
      <c r="HB80" s="3"/>
      <c r="HP80" s="2"/>
      <c r="HS80" s="4"/>
      <c r="HU80" s="4"/>
      <c r="II80" s="4"/>
      <c r="IK80" s="4"/>
      <c r="IS80" s="2"/>
      <c r="IT80" s="2"/>
      <c r="IV80" s="2"/>
      <c r="IW80" s="4"/>
      <c r="IY80" s="4"/>
      <c r="JH80" s="2"/>
      <c r="JK80" s="4"/>
      <c r="JM80" s="4"/>
      <c r="JZ80" s="2"/>
      <c r="KD80" s="4"/>
      <c r="KF80" s="4"/>
      <c r="KJ80" s="4"/>
      <c r="KT80" s="2"/>
      <c r="KU80" s="2"/>
      <c r="KW80" s="2"/>
      <c r="LC80" s="2"/>
      <c r="LF80" s="2"/>
      <c r="LK80" s="2"/>
      <c r="LT80" s="4"/>
      <c r="LV80" s="4"/>
      <c r="ML80" s="3"/>
      <c r="NB80" s="2"/>
      <c r="NC80" s="2"/>
      <c r="NG80" s="5"/>
      <c r="NJ80" s="2"/>
      <c r="NN80" s="2"/>
      <c r="NO80" s="2"/>
      <c r="NT80" s="4"/>
      <c r="NV80" s="4"/>
      <c r="OA80" s="2"/>
      <c r="OB80" s="2"/>
      <c r="OK80" s="3"/>
      <c r="ON80" s="2"/>
      <c r="OO80" s="3"/>
      <c r="OR80" s="4"/>
      <c r="OT80" s="4"/>
      <c r="PD80" s="2"/>
      <c r="PH80" s="2"/>
      <c r="PN80" s="3"/>
      <c r="PQ80" s="2"/>
      <c r="PX80" s="2"/>
      <c r="PZ80" s="2"/>
      <c r="QF80" s="4"/>
      <c r="QH80" s="4"/>
      <c r="QZ80" s="2"/>
      <c r="RA80" s="2"/>
      <c r="RM80" s="3"/>
      <c r="RN80" s="4"/>
      <c r="RO80" s="4"/>
      <c r="RR80" s="2"/>
      <c r="RT80" s="2"/>
      <c r="RU80" s="2"/>
      <c r="SA80" s="4"/>
      <c r="SC80" s="4"/>
      <c r="SN80" s="2"/>
      <c r="SQ80" s="4"/>
      <c r="SS80" s="4"/>
      <c r="TG80" s="2"/>
      <c r="TH80" s="2"/>
      <c r="TI80" s="2"/>
      <c r="TU80" s="4"/>
      <c r="TW80" s="4"/>
    </row>
    <row r="81" spans="1:543">
      <c r="A81">
        <v>7021</v>
      </c>
      <c r="B81">
        <v>8447</v>
      </c>
      <c r="C81">
        <v>7802657459</v>
      </c>
      <c r="D81" t="s">
        <v>435</v>
      </c>
      <c r="E81" t="s">
        <v>436</v>
      </c>
      <c r="F81" t="s">
        <v>437</v>
      </c>
      <c r="G81" s="2">
        <v>40244</v>
      </c>
      <c r="H81" t="s">
        <v>43</v>
      </c>
      <c r="I81" t="s">
        <v>331</v>
      </c>
      <c r="J81" t="s">
        <v>32</v>
      </c>
      <c r="K81" t="s">
        <v>438</v>
      </c>
      <c r="L81" t="s">
        <v>95</v>
      </c>
      <c r="M81" s="2"/>
      <c r="N81" t="s">
        <v>439</v>
      </c>
      <c r="O81" s="2">
        <f>DATE(YEAR(G81) + P81, MONTH(G81), DAY(G81))</f>
        <v>64716</v>
      </c>
      <c r="P81">
        <v>67</v>
      </c>
      <c r="Q81" s="2"/>
      <c r="R81" t="s">
        <v>47</v>
      </c>
      <c r="S81" t="s">
        <v>48</v>
      </c>
      <c r="T81" s="2">
        <v>43290</v>
      </c>
      <c r="U81" t="s">
        <v>103</v>
      </c>
      <c r="V81" t="s">
        <v>39</v>
      </c>
      <c r="W81">
        <v>9</v>
      </c>
      <c r="X81" s="1">
        <v>25987</v>
      </c>
      <c r="Y81" s="1">
        <v>5197.4000000000005</v>
      </c>
      <c r="Z81" s="1">
        <v>20789.599999999999</v>
      </c>
      <c r="AA81" s="3">
        <v>1740</v>
      </c>
      <c r="AK81" s="3"/>
      <c r="AM81" s="4"/>
      <c r="AO81" s="4"/>
      <c r="BA81" s="2"/>
      <c r="BB81" s="2"/>
      <c r="BD81" s="4"/>
      <c r="BF81" s="4"/>
      <c r="BM81" s="2"/>
      <c r="BO81" s="4"/>
      <c r="BQ81" s="4"/>
      <c r="CI81" s="2"/>
      <c r="CJ81" s="2"/>
      <c r="CQ81" s="2"/>
      <c r="CV81" s="4"/>
      <c r="CX81" s="4"/>
      <c r="CZ81" s="3"/>
      <c r="DB81" s="2"/>
      <c r="DC81" s="2"/>
      <c r="DD81" s="3"/>
      <c r="DE81" s="2"/>
      <c r="DF81" s="2"/>
      <c r="DV81" s="2"/>
      <c r="DW81" s="2"/>
      <c r="EF81" s="4"/>
      <c r="EH81" s="4"/>
      <c r="ER81" s="2"/>
      <c r="EX81" s="4"/>
      <c r="EZ81" s="4"/>
      <c r="FQ81" s="4"/>
      <c r="FS81" s="4"/>
      <c r="GE81" s="2"/>
      <c r="GJ81" s="4"/>
      <c r="GL81" s="4"/>
      <c r="GR81" s="2"/>
      <c r="GV81" s="2"/>
      <c r="GW81" s="3"/>
      <c r="HB81" s="3"/>
      <c r="HP81" s="2"/>
      <c r="HS81" s="4"/>
      <c r="HU81" s="4"/>
      <c r="IF81" s="3"/>
      <c r="IK81" s="4"/>
      <c r="IS81" s="2"/>
      <c r="IT81" s="2"/>
      <c r="IV81" s="2"/>
      <c r="IW81" s="4"/>
      <c r="IY81" s="4"/>
      <c r="JH81" s="2"/>
      <c r="JK81" s="4"/>
      <c r="JM81" s="4"/>
      <c r="KD81" s="4"/>
      <c r="KF81" s="4"/>
      <c r="KI81" s="3"/>
      <c r="KJ81" s="4"/>
      <c r="KT81" s="2"/>
      <c r="KU81" s="2"/>
      <c r="KW81" s="2"/>
      <c r="LC81" s="2"/>
      <c r="LF81" s="2"/>
      <c r="LK81" s="2"/>
      <c r="LT81" s="4"/>
      <c r="LV81" s="4"/>
      <c r="MN81" s="5"/>
      <c r="NB81" s="2"/>
      <c r="NC81" s="2"/>
      <c r="NJ81" s="2"/>
      <c r="NN81" s="2"/>
      <c r="NO81" s="2"/>
      <c r="NQ81" s="3"/>
      <c r="NT81" s="4"/>
      <c r="NV81" s="4"/>
      <c r="OA81" s="2"/>
      <c r="OB81" s="2"/>
      <c r="ON81" s="2"/>
      <c r="OR81" s="4"/>
      <c r="OT81" s="4"/>
      <c r="PD81" s="2"/>
      <c r="PH81" s="2"/>
      <c r="PN81" s="3"/>
      <c r="PQ81" s="2"/>
      <c r="PX81" s="2"/>
      <c r="PZ81" s="2"/>
      <c r="QF81" s="4"/>
      <c r="QH81" s="4"/>
      <c r="QZ81" s="2"/>
      <c r="RA81" s="2"/>
      <c r="RN81" s="4"/>
      <c r="RO81" s="4"/>
      <c r="RR81" s="2"/>
      <c r="RT81" s="2"/>
      <c r="RU81" s="2"/>
      <c r="SA81" s="4"/>
      <c r="SC81" s="4"/>
      <c r="SN81" s="2"/>
      <c r="SQ81" s="4"/>
      <c r="SS81" s="4"/>
      <c r="TG81" s="2"/>
      <c r="TH81" s="2"/>
      <c r="TI81" s="2"/>
      <c r="TU81" s="4"/>
      <c r="TW81" s="4"/>
    </row>
    <row r="82" spans="1:543">
      <c r="A82">
        <v>2307</v>
      </c>
      <c r="B82">
        <v>1479</v>
      </c>
      <c r="C82">
        <v>7736071051</v>
      </c>
      <c r="D82" t="s">
        <v>440</v>
      </c>
      <c r="E82" t="s">
        <v>441</v>
      </c>
      <c r="F82" t="s">
        <v>442</v>
      </c>
      <c r="G82" s="2">
        <v>39983</v>
      </c>
      <c r="H82" t="s">
        <v>43</v>
      </c>
      <c r="I82" t="s">
        <v>31</v>
      </c>
      <c r="J82" t="s">
        <v>32</v>
      </c>
      <c r="K82" t="s">
        <v>443</v>
      </c>
      <c r="L82" t="s">
        <v>34</v>
      </c>
      <c r="M82" s="2"/>
      <c r="N82" t="s">
        <v>444</v>
      </c>
      <c r="O82" s="2">
        <f>DATE(YEAR(G82) + P82, MONTH(G82), DAY(G82))</f>
        <v>64820</v>
      </c>
      <c r="P82">
        <v>68</v>
      </c>
      <c r="Q82" s="2"/>
      <c r="R82" t="s">
        <v>47</v>
      </c>
      <c r="S82" t="s">
        <v>64</v>
      </c>
      <c r="T82" s="2">
        <v>44140</v>
      </c>
      <c r="U82" t="s">
        <v>49</v>
      </c>
      <c r="V82" t="s">
        <v>38</v>
      </c>
      <c r="W82">
        <v>15</v>
      </c>
      <c r="X82" s="1">
        <v>31079</v>
      </c>
      <c r="Y82" s="1">
        <v>6215.8</v>
      </c>
      <c r="Z82" s="1">
        <v>24863.200000000001</v>
      </c>
      <c r="AA82" s="3">
        <v>1174</v>
      </c>
      <c r="AK82" s="3"/>
      <c r="AM82" s="4"/>
      <c r="AO82" s="4"/>
      <c r="BA82" s="2"/>
      <c r="BB82" s="2"/>
      <c r="BD82" s="4"/>
      <c r="BF82" s="4"/>
      <c r="BM82" s="2"/>
      <c r="BO82" s="4"/>
      <c r="BQ82" s="4"/>
      <c r="CG82" s="3"/>
      <c r="CI82" s="2"/>
      <c r="CJ82" s="2"/>
      <c r="CN82" s="2"/>
      <c r="CQ82" s="2"/>
      <c r="CV82" s="4"/>
      <c r="CX82" s="4"/>
      <c r="DB82" s="2"/>
      <c r="DC82" s="2"/>
      <c r="DE82" s="2"/>
      <c r="DF82" s="2"/>
      <c r="DV82" s="2"/>
      <c r="DW82" s="2"/>
      <c r="EF82" s="4"/>
      <c r="EH82" s="4"/>
      <c r="ES82" s="2"/>
      <c r="EX82" s="4"/>
      <c r="EZ82" s="4"/>
      <c r="FQ82" s="4"/>
      <c r="FS82" s="4"/>
      <c r="GJ82" s="4"/>
      <c r="GR82" s="2"/>
      <c r="GS82" s="3"/>
      <c r="GU82" s="3"/>
      <c r="GV82" s="2"/>
      <c r="HB82" s="3"/>
      <c r="HP82" s="2"/>
      <c r="HS82" s="4"/>
      <c r="HU82" s="4"/>
      <c r="II82" s="4"/>
      <c r="IK82" s="4"/>
      <c r="IS82" s="2"/>
      <c r="IV82" s="2"/>
      <c r="IW82" s="4"/>
      <c r="IY82" s="4"/>
      <c r="JH82" s="2"/>
      <c r="JK82" s="4"/>
      <c r="JM82" s="4"/>
      <c r="JZ82" s="2"/>
      <c r="KD82" s="4"/>
      <c r="KF82" s="4"/>
      <c r="KJ82" s="4"/>
      <c r="KT82" s="2"/>
      <c r="KU82" s="2"/>
      <c r="KW82" s="2"/>
      <c r="LC82" s="2"/>
      <c r="LF82" s="2"/>
      <c r="LK82" s="2"/>
      <c r="LT82" s="4"/>
      <c r="LV82" s="4"/>
      <c r="MN82" s="5"/>
      <c r="NB82" s="2"/>
      <c r="NC82" s="2"/>
      <c r="NJ82" s="2"/>
      <c r="NN82" s="2"/>
      <c r="NT82" s="4"/>
      <c r="NV82" s="4"/>
      <c r="OA82" s="2"/>
      <c r="OB82" s="2"/>
      <c r="ON82" s="2"/>
      <c r="OR82" s="4"/>
      <c r="OT82" s="4"/>
      <c r="PD82" s="2"/>
      <c r="PH82" s="2"/>
      <c r="PQ82" s="2"/>
      <c r="PX82" s="2"/>
      <c r="PZ82" s="2"/>
      <c r="QF82" s="4"/>
      <c r="QH82" s="4"/>
      <c r="QZ82" s="2"/>
      <c r="RA82" s="2"/>
      <c r="RN82" s="4"/>
      <c r="RO82" s="4"/>
      <c r="RT82" s="2"/>
      <c r="RU82" s="2"/>
      <c r="SA82" s="4"/>
      <c r="SC82" s="4"/>
      <c r="SN82" s="2"/>
      <c r="SQ82" s="4"/>
      <c r="SS82" s="4"/>
      <c r="TG82" s="2"/>
      <c r="TH82" s="2"/>
      <c r="TI82" s="2"/>
      <c r="TN82" s="3"/>
      <c r="TU82" s="4"/>
      <c r="TW82" s="4"/>
    </row>
    <row r="83" spans="1:543">
      <c r="A83">
        <v>9440</v>
      </c>
      <c r="B83">
        <v>2743</v>
      </c>
      <c r="C83">
        <v>8873973786</v>
      </c>
      <c r="D83" t="s">
        <v>440</v>
      </c>
      <c r="E83" t="s">
        <v>445</v>
      </c>
      <c r="F83" t="s">
        <v>446</v>
      </c>
      <c r="G83" s="2">
        <v>40511</v>
      </c>
      <c r="H83" t="s">
        <v>43</v>
      </c>
      <c r="I83" t="s">
        <v>87</v>
      </c>
      <c r="J83" t="s">
        <v>61</v>
      </c>
      <c r="K83" t="s">
        <v>447</v>
      </c>
      <c r="L83" t="s">
        <v>77</v>
      </c>
      <c r="M83" s="2">
        <v>45290</v>
      </c>
      <c r="N83" t="s">
        <v>448</v>
      </c>
      <c r="O83" s="2">
        <f>DATE(YEAR(G83) + P83, MONTH(G83), DAY(G83))</f>
        <v>62791</v>
      </c>
      <c r="P83">
        <v>61</v>
      </c>
      <c r="Q83" s="2">
        <v>45237</v>
      </c>
      <c r="R83" t="s">
        <v>36</v>
      </c>
      <c r="S83" t="s">
        <v>48</v>
      </c>
      <c r="T83" s="2">
        <v>44127</v>
      </c>
      <c r="U83" t="s">
        <v>49</v>
      </c>
      <c r="V83" t="s">
        <v>39</v>
      </c>
      <c r="W83">
        <v>14</v>
      </c>
      <c r="X83" s="1">
        <v>50626</v>
      </c>
      <c r="Y83" s="1">
        <v>10125.200000000001</v>
      </c>
      <c r="Z83" s="1">
        <v>40500.800000000003</v>
      </c>
      <c r="AA83" s="3">
        <v>534</v>
      </c>
      <c r="AK83" s="3"/>
      <c r="AO83" s="4"/>
      <c r="BB83" s="2"/>
      <c r="BF83" s="4"/>
      <c r="BM83" s="2"/>
      <c r="BO83" s="4"/>
      <c r="BQ83" s="4"/>
      <c r="CI83" s="2"/>
      <c r="CJ83" s="2"/>
      <c r="CN83" s="2"/>
      <c r="CQ83" s="2"/>
      <c r="CV83" s="4"/>
      <c r="CX83" s="4"/>
      <c r="DB83" s="2"/>
      <c r="DC83" s="2"/>
      <c r="DE83" s="2"/>
      <c r="DF83" s="2"/>
      <c r="DV83" s="2"/>
      <c r="DW83" s="2"/>
      <c r="EF83" s="4"/>
      <c r="EH83" s="4"/>
      <c r="ES83" s="2"/>
      <c r="EU83" s="3"/>
      <c r="EX83" s="4"/>
      <c r="EZ83" s="4"/>
      <c r="FQ83" s="4"/>
      <c r="FS83" s="4"/>
      <c r="GE83" s="2"/>
      <c r="GJ83" s="4"/>
      <c r="GL83" s="4"/>
      <c r="GT83" s="3"/>
      <c r="GV83" s="2"/>
      <c r="GW83" s="3"/>
      <c r="GY83" s="3"/>
      <c r="HB83" s="3"/>
      <c r="HP83" s="2"/>
      <c r="HS83" s="4"/>
      <c r="HU83" s="4"/>
      <c r="II83" s="4"/>
      <c r="IK83" s="4"/>
      <c r="IS83" s="2"/>
      <c r="IT83" s="2"/>
      <c r="IV83" s="2"/>
      <c r="IW83" s="4"/>
      <c r="IY83" s="4"/>
      <c r="JH83" s="2"/>
      <c r="JK83" s="4"/>
      <c r="JZ83" s="2"/>
      <c r="KF83" s="4"/>
      <c r="KT83" s="2"/>
      <c r="KU83" s="2"/>
      <c r="KW83" s="2"/>
      <c r="LC83" s="2"/>
      <c r="LF83" s="2"/>
      <c r="LK83" s="2"/>
      <c r="LT83" s="4"/>
      <c r="LV83" s="4"/>
      <c r="MG83" s="3"/>
      <c r="MH83" s="3"/>
      <c r="NB83" s="2"/>
      <c r="NC83" s="2"/>
      <c r="NJ83" s="2"/>
      <c r="NN83" s="2"/>
      <c r="NO83" s="2"/>
      <c r="NT83" s="4"/>
      <c r="NV83" s="4"/>
      <c r="OA83" s="2"/>
      <c r="OB83" s="2"/>
      <c r="OR83" s="4"/>
      <c r="OT83" s="4"/>
      <c r="PD83" s="2"/>
      <c r="PH83" s="2"/>
      <c r="PQ83" s="2"/>
      <c r="PX83" s="2"/>
      <c r="PZ83" s="2"/>
      <c r="QF83" s="4"/>
      <c r="QH83" s="4"/>
      <c r="QX83" s="3"/>
      <c r="QZ83" s="2"/>
      <c r="RA83" s="2"/>
      <c r="RN83" s="4"/>
      <c r="RO83" s="4"/>
      <c r="RU83" s="2"/>
      <c r="SA83" s="4"/>
      <c r="SC83" s="4"/>
      <c r="SN83" s="2"/>
      <c r="SQ83" s="4"/>
      <c r="SS83" s="4"/>
      <c r="TG83" s="2"/>
      <c r="TH83" s="2"/>
      <c r="TI83" s="2"/>
      <c r="TU83" s="4"/>
      <c r="TW83" s="4"/>
    </row>
    <row r="84" spans="1:543">
      <c r="A84">
        <v>5356</v>
      </c>
      <c r="B84">
        <v>5376</v>
      </c>
      <c r="C84">
        <v>9555739225</v>
      </c>
      <c r="D84" t="s">
        <v>440</v>
      </c>
      <c r="E84" t="s">
        <v>449</v>
      </c>
      <c r="F84" t="s">
        <v>450</v>
      </c>
      <c r="G84" s="2">
        <v>40216</v>
      </c>
      <c r="H84" t="s">
        <v>30</v>
      </c>
      <c r="I84" t="s">
        <v>53</v>
      </c>
      <c r="J84" t="s">
        <v>32</v>
      </c>
      <c r="K84" t="s">
        <v>451</v>
      </c>
      <c r="L84" t="s">
        <v>95</v>
      </c>
      <c r="N84" t="s">
        <v>452</v>
      </c>
      <c r="O84" s="2">
        <f>DATE(YEAR(G84) + P84, MONTH(G84), DAY(G84))</f>
        <v>63957</v>
      </c>
      <c r="P84">
        <v>65</v>
      </c>
      <c r="Q84" s="2"/>
      <c r="R84" t="s">
        <v>47</v>
      </c>
      <c r="S84" t="s">
        <v>181</v>
      </c>
      <c r="T84" s="2">
        <v>41759</v>
      </c>
      <c r="U84" t="s">
        <v>133</v>
      </c>
      <c r="V84" t="s">
        <v>66</v>
      </c>
      <c r="W84">
        <v>21</v>
      </c>
      <c r="X84" s="1">
        <v>13863</v>
      </c>
      <c r="Y84" s="1">
        <v>2772.6000000000004</v>
      </c>
      <c r="Z84" s="1">
        <v>11090.4</v>
      </c>
      <c r="AA84" s="3">
        <v>230</v>
      </c>
      <c r="AK84" s="3"/>
      <c r="AM84" s="4"/>
      <c r="AO84" s="4"/>
      <c r="BA84" s="2"/>
      <c r="BB84" s="2"/>
      <c r="BD84" s="4"/>
      <c r="BF84" s="4"/>
      <c r="BM84" s="2"/>
      <c r="BO84" s="4"/>
      <c r="BQ84" s="4"/>
      <c r="CI84" s="2"/>
      <c r="CJ84" s="2"/>
      <c r="CK84" s="3"/>
      <c r="CL84" s="3"/>
      <c r="CN84" s="2"/>
      <c r="CQ84" s="2"/>
      <c r="CV84" s="4"/>
      <c r="CX84" s="4"/>
      <c r="DB84" s="2"/>
      <c r="DC84" s="2"/>
      <c r="DD84" s="3"/>
      <c r="DE84" s="2"/>
      <c r="DV84" s="2"/>
      <c r="DW84" s="2"/>
      <c r="EF84" s="4"/>
      <c r="EH84" s="4"/>
      <c r="ER84" s="2"/>
      <c r="ES84" s="2"/>
      <c r="EZ84" s="4"/>
      <c r="FQ84" s="4"/>
      <c r="FS84" s="4"/>
      <c r="GE84" s="2"/>
      <c r="GJ84" s="4"/>
      <c r="GL84" s="4"/>
      <c r="GV84" s="2"/>
      <c r="GW84" s="3"/>
      <c r="GX84" s="3"/>
      <c r="HB84" s="3"/>
      <c r="HP84" s="2"/>
      <c r="HS84" s="4"/>
      <c r="HU84" s="4"/>
      <c r="II84" s="4"/>
      <c r="IK84" s="4"/>
      <c r="IT84" s="2"/>
      <c r="IW84" s="4"/>
      <c r="IY84" s="4"/>
      <c r="JH84" s="2"/>
      <c r="JK84" s="4"/>
      <c r="JZ84" s="2"/>
      <c r="KD84" s="4"/>
      <c r="KF84" s="4"/>
      <c r="KJ84" s="4"/>
      <c r="KU84" s="2"/>
      <c r="KW84" s="2"/>
      <c r="LC84" s="2"/>
      <c r="LF84" s="2"/>
      <c r="LT84" s="4"/>
      <c r="LV84" s="4"/>
      <c r="MA84" s="3"/>
      <c r="ME84" s="3"/>
      <c r="NB84" s="2"/>
      <c r="NC84" s="2"/>
      <c r="NJ84" s="2"/>
      <c r="NN84" s="2"/>
      <c r="NO84" s="2"/>
      <c r="NT84" s="4"/>
      <c r="NV84" s="4"/>
      <c r="OA84" s="2"/>
      <c r="OB84" s="2"/>
      <c r="ON84" s="2"/>
      <c r="OO84" s="3"/>
      <c r="OR84" s="4"/>
      <c r="OT84" s="4"/>
      <c r="PD84" s="2"/>
      <c r="PH84" s="2"/>
      <c r="PP84" s="3"/>
      <c r="PQ84" s="2"/>
      <c r="PX84" s="2"/>
      <c r="PZ84" s="2"/>
      <c r="QF84" s="4"/>
      <c r="QH84" s="4"/>
      <c r="QJ84" s="3"/>
      <c r="QZ84" s="2"/>
      <c r="RA84" s="2"/>
      <c r="RN84" s="4"/>
      <c r="RO84" s="4"/>
      <c r="RR84" s="2"/>
      <c r="RT84" s="2"/>
      <c r="SA84" s="4"/>
      <c r="SC84" s="4"/>
      <c r="SN84" s="2"/>
      <c r="SQ84" s="4"/>
      <c r="SS84" s="4"/>
      <c r="TG84" s="2"/>
      <c r="TH84" s="2"/>
      <c r="TI84" s="2"/>
      <c r="TU84" s="4"/>
      <c r="TW84" s="4"/>
    </row>
    <row r="85" spans="1:543">
      <c r="A85">
        <v>913</v>
      </c>
      <c r="B85">
        <v>5515</v>
      </c>
      <c r="C85">
        <v>5798268104</v>
      </c>
      <c r="D85" t="s">
        <v>415</v>
      </c>
      <c r="E85" t="s">
        <v>453</v>
      </c>
      <c r="F85" t="s">
        <v>454</v>
      </c>
      <c r="G85" s="2">
        <v>29889</v>
      </c>
      <c r="H85" t="s">
        <v>43</v>
      </c>
      <c r="I85" t="s">
        <v>130</v>
      </c>
      <c r="J85" t="s">
        <v>32</v>
      </c>
      <c r="K85" t="s">
        <v>455</v>
      </c>
      <c r="L85" t="s">
        <v>95</v>
      </c>
      <c r="N85" t="s">
        <v>456</v>
      </c>
      <c r="O85" s="2">
        <f>DATE(YEAR(G85) + P85, MONTH(G85), DAY(G85))</f>
        <v>52900</v>
      </c>
      <c r="P85">
        <v>63</v>
      </c>
      <c r="Q85" s="2"/>
      <c r="R85" t="s">
        <v>47</v>
      </c>
      <c r="S85" t="s">
        <v>64</v>
      </c>
      <c r="T85" s="2">
        <v>38853</v>
      </c>
      <c r="U85" t="s">
        <v>65</v>
      </c>
      <c r="V85" t="s">
        <v>66</v>
      </c>
      <c r="W85">
        <v>16</v>
      </c>
      <c r="X85" s="1">
        <v>24989</v>
      </c>
      <c r="Y85" s="1">
        <v>4997.8</v>
      </c>
      <c r="Z85" s="1">
        <v>19991.2</v>
      </c>
      <c r="AA85" s="3">
        <v>1698</v>
      </c>
      <c r="AJ85" s="3"/>
      <c r="AK85" s="3"/>
      <c r="AM85" s="4"/>
      <c r="AO85" s="4"/>
      <c r="BA85" s="2"/>
      <c r="BB85" s="2"/>
      <c r="BD85" s="4"/>
      <c r="BF85" s="4"/>
      <c r="BM85" s="2"/>
      <c r="BO85" s="4"/>
      <c r="BQ85" s="4"/>
      <c r="CI85" s="2"/>
      <c r="CJ85" s="2"/>
      <c r="CN85" s="2"/>
      <c r="CQ85" s="2"/>
      <c r="CV85" s="4"/>
      <c r="CX85" s="4"/>
      <c r="DB85" s="2"/>
      <c r="DC85" s="2"/>
      <c r="DE85" s="2"/>
      <c r="DF85" s="2"/>
      <c r="DV85" s="2"/>
      <c r="DW85" s="2"/>
      <c r="EF85" s="4"/>
      <c r="EH85" s="4"/>
      <c r="ER85" s="2"/>
      <c r="ES85" s="2"/>
      <c r="EX85" s="4"/>
      <c r="EZ85" s="4"/>
      <c r="FQ85" s="4"/>
      <c r="FS85" s="4"/>
      <c r="GE85" s="2"/>
      <c r="GJ85" s="4"/>
      <c r="GL85" s="4"/>
      <c r="GR85" s="2"/>
      <c r="GS85" s="3"/>
      <c r="GV85" s="2"/>
      <c r="GX85" s="3"/>
      <c r="HB85" s="3"/>
      <c r="HP85" s="2"/>
      <c r="HS85" s="4"/>
      <c r="HU85" s="4"/>
      <c r="IF85" s="3"/>
      <c r="II85" s="4"/>
      <c r="IK85" s="4"/>
      <c r="IS85" s="2"/>
      <c r="IT85" s="2"/>
      <c r="IY85" s="4"/>
      <c r="JH85" s="2"/>
      <c r="JK85" s="4"/>
      <c r="JM85" s="4"/>
      <c r="JZ85" s="2"/>
      <c r="KD85" s="4"/>
      <c r="KJ85" s="4"/>
      <c r="KT85" s="2"/>
      <c r="KU85" s="2"/>
      <c r="KW85" s="2"/>
      <c r="LC85" s="2"/>
      <c r="LF85" s="2"/>
      <c r="LH85" s="3"/>
      <c r="LK85" s="2"/>
      <c r="LT85" s="4"/>
      <c r="LV85" s="4"/>
      <c r="ML85" s="3"/>
      <c r="NB85" s="2"/>
      <c r="NC85" s="2"/>
      <c r="NJ85" s="2"/>
      <c r="NN85" s="2"/>
      <c r="NO85" s="2"/>
      <c r="NT85" s="4"/>
      <c r="NV85" s="4"/>
      <c r="OA85" s="2"/>
      <c r="OB85" s="2"/>
      <c r="OJ85" s="3"/>
      <c r="ON85" s="2"/>
      <c r="OR85" s="4"/>
      <c r="OT85" s="4"/>
      <c r="PD85" s="2"/>
      <c r="PH85" s="2"/>
      <c r="PI85" s="3"/>
      <c r="PQ85" s="2"/>
      <c r="PX85" s="2"/>
      <c r="PY85" s="3"/>
      <c r="PZ85" s="2"/>
      <c r="QF85" s="4"/>
      <c r="QH85" s="4"/>
      <c r="QZ85" s="2"/>
      <c r="RA85" s="2"/>
      <c r="RN85" s="4"/>
      <c r="RR85" s="2"/>
      <c r="RT85" s="2"/>
      <c r="RU85" s="2"/>
      <c r="SA85" s="4"/>
      <c r="SC85" s="4"/>
      <c r="SN85" s="2"/>
      <c r="SQ85" s="4"/>
      <c r="SS85" s="4"/>
      <c r="TG85" s="2"/>
      <c r="TH85" s="2"/>
      <c r="TI85" s="2"/>
      <c r="TO85" s="3"/>
      <c r="TU85" s="4"/>
      <c r="TW85" s="4"/>
    </row>
    <row r="86" spans="1:543">
      <c r="A86">
        <v>7286</v>
      </c>
      <c r="B86">
        <v>7437</v>
      </c>
      <c r="C86" s="3" t="s">
        <v>457</v>
      </c>
      <c r="D86" t="s">
        <v>316</v>
      </c>
      <c r="E86" t="s">
        <v>458</v>
      </c>
      <c r="F86" t="s">
        <v>459</v>
      </c>
      <c r="G86" s="2">
        <v>34747</v>
      </c>
      <c r="H86" t="s">
        <v>43</v>
      </c>
      <c r="I86" t="s">
        <v>60</v>
      </c>
      <c r="J86" t="s">
        <v>32</v>
      </c>
      <c r="K86" t="s">
        <v>460</v>
      </c>
      <c r="L86" t="s">
        <v>34</v>
      </c>
      <c r="M86" s="2"/>
      <c r="N86" t="s">
        <v>461</v>
      </c>
      <c r="O86" s="2">
        <f>DATE(YEAR(G86) + P86, MONTH(G86), DAY(G86))</f>
        <v>58854</v>
      </c>
      <c r="P86">
        <v>66</v>
      </c>
      <c r="Q86" s="2">
        <v>31697</v>
      </c>
      <c r="R86" t="s">
        <v>36</v>
      </c>
      <c r="S86" t="s">
        <v>109</v>
      </c>
      <c r="T86" t="s">
        <v>462</v>
      </c>
      <c r="U86" t="s">
        <v>38</v>
      </c>
      <c r="V86" t="s">
        <v>56</v>
      </c>
      <c r="W86">
        <v>16</v>
      </c>
      <c r="X86" s="1">
        <v>41781</v>
      </c>
      <c r="Y86" s="1">
        <v>8356.2000000000007</v>
      </c>
      <c r="Z86" s="1">
        <v>33424.800000000003</v>
      </c>
      <c r="AA86" s="3">
        <v>248</v>
      </c>
      <c r="AK86" s="3"/>
      <c r="AM86" s="4"/>
      <c r="AO86" s="4"/>
      <c r="BA86" s="2"/>
      <c r="BB86" s="2"/>
      <c r="BD86" s="4"/>
      <c r="BF86" s="4"/>
      <c r="BM86" s="2"/>
      <c r="BO86" s="4"/>
      <c r="BQ86" s="4"/>
      <c r="CF86" s="3"/>
      <c r="CI86" s="2"/>
      <c r="CJ86" s="2"/>
      <c r="CN86" s="2"/>
      <c r="CQ86" s="2"/>
      <c r="CV86" s="4"/>
      <c r="CX86" s="4"/>
      <c r="DB86" s="2"/>
      <c r="DC86" s="2"/>
      <c r="DE86" s="2"/>
      <c r="DF86" s="2"/>
      <c r="DV86" s="2"/>
      <c r="DW86" s="2"/>
      <c r="EF86" s="4"/>
      <c r="EH86" s="4"/>
      <c r="ER86" s="2"/>
      <c r="ES86" s="2"/>
      <c r="EX86" s="4"/>
      <c r="EZ86" s="4"/>
      <c r="FQ86" s="4"/>
      <c r="FS86" s="4"/>
      <c r="GE86" s="2"/>
      <c r="GJ86" s="4"/>
      <c r="GL86" s="4"/>
      <c r="GR86" s="2"/>
      <c r="GS86" s="3"/>
      <c r="GW86" s="3"/>
      <c r="HB86" s="3"/>
      <c r="HP86" s="2"/>
      <c r="HS86" s="4"/>
      <c r="II86" s="4"/>
      <c r="IK86" s="4"/>
      <c r="IS86" s="2"/>
      <c r="IT86" s="2"/>
      <c r="IV86" s="2"/>
      <c r="IW86" s="4"/>
      <c r="JH86" s="2"/>
      <c r="JK86" s="4"/>
      <c r="JM86" s="4"/>
      <c r="KD86" s="4"/>
      <c r="KF86" s="4"/>
      <c r="KJ86" s="4"/>
      <c r="KT86" s="2"/>
      <c r="KU86" s="2"/>
      <c r="KW86" s="2"/>
      <c r="LC86" s="2"/>
      <c r="LF86" s="2"/>
      <c r="LK86" s="2"/>
      <c r="LT86" s="4"/>
      <c r="LV86" s="4"/>
      <c r="MB86" s="3"/>
      <c r="NB86" s="2"/>
      <c r="NC86" s="2"/>
      <c r="NH86" s="3"/>
      <c r="NJ86" s="2"/>
      <c r="NN86" s="2"/>
      <c r="NO86" s="2"/>
      <c r="NT86" s="4"/>
      <c r="NV86" s="4"/>
      <c r="OA86" s="2"/>
      <c r="OB86" s="2"/>
      <c r="ON86" s="2"/>
      <c r="OR86" s="4"/>
      <c r="OT86" s="4"/>
      <c r="PD86" s="2"/>
      <c r="PH86" s="2"/>
      <c r="PQ86" s="2"/>
      <c r="PX86" s="2"/>
      <c r="PY86" s="3"/>
      <c r="PZ86" s="2"/>
      <c r="QH86" s="4"/>
      <c r="QZ86" s="2"/>
      <c r="RA86" s="2"/>
      <c r="RN86" s="4"/>
      <c r="RO86" s="4"/>
      <c r="RR86" s="2"/>
      <c r="RT86" s="2"/>
      <c r="RU86" s="2"/>
      <c r="SC86" s="4"/>
      <c r="SQ86" s="4"/>
      <c r="TG86" s="2"/>
      <c r="TH86" s="2"/>
      <c r="TI86" s="2"/>
      <c r="TP86" s="3"/>
      <c r="TU86" s="4"/>
      <c r="TW86" s="4"/>
    </row>
    <row r="87" spans="1:543">
      <c r="A87">
        <v>2559</v>
      </c>
      <c r="B87">
        <v>2898</v>
      </c>
      <c r="C87">
        <v>3681967135</v>
      </c>
      <c r="D87" t="s">
        <v>463</v>
      </c>
      <c r="E87" t="s">
        <v>464</v>
      </c>
      <c r="F87" t="s">
        <v>465</v>
      </c>
      <c r="G87" s="2">
        <v>29540</v>
      </c>
      <c r="H87" t="s">
        <v>30</v>
      </c>
      <c r="I87" t="s">
        <v>407</v>
      </c>
      <c r="J87" t="s">
        <v>32</v>
      </c>
      <c r="K87" t="s">
        <v>466</v>
      </c>
      <c r="L87" t="s">
        <v>34</v>
      </c>
      <c r="M87" s="2"/>
      <c r="N87" t="s">
        <v>467</v>
      </c>
      <c r="O87" s="2">
        <f>DATE(YEAR(G87) + P87, MONTH(G87), DAY(G87))</f>
        <v>52185</v>
      </c>
      <c r="P87">
        <v>62</v>
      </c>
      <c r="Q87" s="2"/>
      <c r="R87" t="s">
        <v>47</v>
      </c>
      <c r="S87" t="s">
        <v>109</v>
      </c>
      <c r="T87" s="2">
        <v>24412</v>
      </c>
      <c r="U87" t="s">
        <v>38</v>
      </c>
      <c r="V87" t="s">
        <v>38</v>
      </c>
      <c r="W87">
        <v>8</v>
      </c>
      <c r="X87" s="1">
        <v>87597</v>
      </c>
      <c r="Y87" s="1">
        <v>17519.400000000001</v>
      </c>
      <c r="Z87" s="1">
        <v>70077.600000000006</v>
      </c>
      <c r="AA87" s="3">
        <v>1436</v>
      </c>
      <c r="AK87" s="3"/>
      <c r="AM87" s="4"/>
      <c r="AO87" s="4"/>
      <c r="BA87" s="2"/>
      <c r="BB87" s="2"/>
      <c r="BD87" s="4"/>
      <c r="BF87" s="4"/>
      <c r="BM87" s="2"/>
      <c r="BO87" s="4"/>
      <c r="BQ87" s="4"/>
      <c r="CI87" s="2"/>
      <c r="CJ87" s="2"/>
      <c r="CK87" s="3"/>
      <c r="CN87" s="2"/>
      <c r="CQ87" s="2"/>
      <c r="CV87" s="4"/>
      <c r="CX87" s="4"/>
      <c r="DB87" s="2"/>
      <c r="DC87" s="2"/>
      <c r="DE87" s="2"/>
      <c r="DF87" s="2"/>
      <c r="DV87" s="2"/>
      <c r="DW87" s="2"/>
      <c r="EF87" s="4"/>
      <c r="EH87" s="4"/>
      <c r="ER87" s="2"/>
      <c r="ES87" s="2"/>
      <c r="EX87" s="4"/>
      <c r="FQ87" s="4"/>
      <c r="FS87" s="4"/>
      <c r="GE87" s="2"/>
      <c r="GJ87" s="4"/>
      <c r="GR87" s="2"/>
      <c r="GT87" s="3"/>
      <c r="GV87" s="2"/>
      <c r="GW87" s="3"/>
      <c r="GX87" s="3"/>
      <c r="HB87" s="3"/>
      <c r="HP87" s="2"/>
      <c r="HS87" s="4"/>
      <c r="HU87" s="4"/>
      <c r="II87" s="4"/>
      <c r="IK87" s="4"/>
      <c r="IS87" s="2"/>
      <c r="IT87" s="2"/>
      <c r="IV87" s="2"/>
      <c r="IW87" s="4"/>
      <c r="IY87" s="4"/>
      <c r="JH87" s="2"/>
      <c r="JK87" s="4"/>
      <c r="JM87" s="4"/>
      <c r="JZ87" s="2"/>
      <c r="KC87" s="3"/>
      <c r="KD87" s="4"/>
      <c r="KF87" s="4"/>
      <c r="KJ87" s="4"/>
      <c r="KU87" s="2"/>
      <c r="KW87" s="2"/>
      <c r="LC87" s="2"/>
      <c r="LF87" s="2"/>
      <c r="LK87" s="2"/>
      <c r="LT87" s="4"/>
      <c r="LV87" s="4"/>
      <c r="NB87" s="2"/>
      <c r="NC87" s="2"/>
      <c r="NJ87" s="2"/>
      <c r="NN87" s="2"/>
      <c r="NO87" s="2"/>
      <c r="NT87" s="4"/>
      <c r="NV87" s="4"/>
      <c r="OB87" s="2"/>
      <c r="ON87" s="2"/>
      <c r="OR87" s="4"/>
      <c r="OT87" s="4"/>
      <c r="PD87" s="2"/>
      <c r="PH87" s="2"/>
      <c r="PP87" s="3"/>
      <c r="PQ87" s="2"/>
      <c r="PX87" s="2"/>
      <c r="PZ87" s="2"/>
      <c r="QF87" s="4"/>
      <c r="QZ87" s="2"/>
      <c r="RA87" s="2"/>
      <c r="RN87" s="4"/>
      <c r="RO87" s="4"/>
      <c r="RR87" s="2"/>
      <c r="RT87" s="2"/>
      <c r="RU87" s="2"/>
      <c r="SA87" s="4"/>
      <c r="SC87" s="4"/>
      <c r="SN87" s="2"/>
      <c r="SQ87" s="4"/>
      <c r="SS87" s="4"/>
      <c r="TG87" s="2"/>
      <c r="TH87" s="2"/>
      <c r="TI87" s="2"/>
      <c r="TU87" s="4"/>
      <c r="TW87" s="4"/>
    </row>
    <row r="88" spans="1:543">
      <c r="A88">
        <v>8149</v>
      </c>
      <c r="B88">
        <v>3543</v>
      </c>
      <c r="C88">
        <v>5990835775</v>
      </c>
      <c r="D88" t="s">
        <v>463</v>
      </c>
      <c r="E88" t="s">
        <v>468</v>
      </c>
      <c r="F88" t="s">
        <v>469</v>
      </c>
      <c r="G88" s="2">
        <v>36585</v>
      </c>
      <c r="H88" t="s">
        <v>30</v>
      </c>
      <c r="I88" t="s">
        <v>31</v>
      </c>
      <c r="J88" t="s">
        <v>32</v>
      </c>
      <c r="K88" t="s">
        <v>470</v>
      </c>
      <c r="L88" t="s">
        <v>77</v>
      </c>
      <c r="M88" s="2"/>
      <c r="N88" t="s">
        <v>471</v>
      </c>
      <c r="O88" s="2">
        <f>DATE(YEAR(G88) + P88, MONTH(G88), DAY(G88))</f>
        <v>61788</v>
      </c>
      <c r="P88">
        <v>69</v>
      </c>
      <c r="Q88" s="2">
        <v>32271</v>
      </c>
      <c r="R88" t="s">
        <v>36</v>
      </c>
      <c r="S88" t="s">
        <v>37</v>
      </c>
      <c r="T88" s="2">
        <v>40275</v>
      </c>
      <c r="U88" t="s">
        <v>103</v>
      </c>
      <c r="V88" t="s">
        <v>38</v>
      </c>
      <c r="W88">
        <v>19</v>
      </c>
      <c r="X88" s="1">
        <v>88343</v>
      </c>
      <c r="Y88" s="1">
        <v>17668.600000000002</v>
      </c>
      <c r="Z88" s="1">
        <v>70674.399999999994</v>
      </c>
      <c r="AA88" s="3">
        <v>1644</v>
      </c>
      <c r="AK88" s="3"/>
      <c r="AM88" s="4"/>
      <c r="AO88" s="4"/>
      <c r="BA88" s="2"/>
      <c r="BB88" s="2"/>
      <c r="BD88" s="4"/>
      <c r="BM88" s="2"/>
      <c r="BO88" s="4"/>
      <c r="BQ88" s="4"/>
      <c r="CH88" s="3"/>
      <c r="CI88" s="2"/>
      <c r="CJ88" s="2"/>
      <c r="CN88" s="2"/>
      <c r="CQ88" s="2"/>
      <c r="CV88" s="4"/>
      <c r="CX88" s="4"/>
      <c r="DB88" s="2"/>
      <c r="DC88" s="2"/>
      <c r="DE88" s="2"/>
      <c r="DF88" s="2"/>
      <c r="DV88" s="2"/>
      <c r="DW88" s="2"/>
      <c r="EF88" s="4"/>
      <c r="EH88" s="4"/>
      <c r="ER88" s="2"/>
      <c r="ES88" s="2"/>
      <c r="EZ88" s="4"/>
      <c r="FQ88" s="4"/>
      <c r="FS88" s="4"/>
      <c r="GE88" s="2"/>
      <c r="GJ88" s="4"/>
      <c r="GL88" s="4"/>
      <c r="GS88" s="3"/>
      <c r="GV88" s="2"/>
      <c r="GW88" s="3"/>
      <c r="GX88" s="3"/>
      <c r="GY88" s="3"/>
      <c r="HB88" s="3"/>
      <c r="HP88" s="2"/>
      <c r="HS88" s="4"/>
      <c r="HU88" s="4"/>
      <c r="II88" s="4"/>
      <c r="IK88" s="4"/>
      <c r="IS88" s="2"/>
      <c r="IT88" s="2"/>
      <c r="IV88" s="2"/>
      <c r="IW88" s="4"/>
      <c r="JH88" s="2"/>
      <c r="JK88" s="4"/>
      <c r="JM88" s="4"/>
      <c r="JZ88" s="2"/>
      <c r="KC88" s="3"/>
      <c r="KD88" s="4"/>
      <c r="KF88" s="4"/>
      <c r="KJ88" s="4"/>
      <c r="KT88" s="2"/>
      <c r="KU88" s="2"/>
      <c r="KW88" s="2"/>
      <c r="LC88" s="2"/>
      <c r="LF88" s="2"/>
      <c r="LT88" s="4"/>
      <c r="LV88" s="4"/>
      <c r="NB88" s="2"/>
      <c r="NJ88" s="2"/>
      <c r="NN88" s="2"/>
      <c r="NO88" s="2"/>
      <c r="NT88" s="4"/>
      <c r="NV88" s="4"/>
      <c r="OA88" s="2"/>
      <c r="OB88" s="2"/>
      <c r="OJ88" s="3"/>
      <c r="ON88" s="2"/>
      <c r="OR88" s="4"/>
      <c r="OT88" s="4"/>
      <c r="PD88" s="2"/>
      <c r="PH88" s="2"/>
      <c r="PQ88" s="2"/>
      <c r="PZ88" s="2"/>
      <c r="QF88" s="4"/>
      <c r="QH88" s="4"/>
      <c r="QX88" s="3"/>
      <c r="QZ88" s="2"/>
      <c r="RA88" s="2"/>
      <c r="RN88" s="4"/>
      <c r="RO88" s="4"/>
      <c r="RR88" s="2"/>
      <c r="RT88" s="2"/>
      <c r="RU88" s="2"/>
      <c r="SC88" s="4"/>
      <c r="SN88" s="2"/>
      <c r="SS88" s="4"/>
      <c r="TG88" s="2"/>
      <c r="TH88" s="2"/>
      <c r="TI88" s="2"/>
      <c r="TU88" s="4"/>
      <c r="TW88" s="4"/>
    </row>
    <row r="89" spans="1:543">
      <c r="A89">
        <v>7064</v>
      </c>
      <c r="B89">
        <v>6306</v>
      </c>
      <c r="C89" s="3" t="s">
        <v>472</v>
      </c>
      <c r="D89" t="s">
        <v>72</v>
      </c>
      <c r="E89" t="s">
        <v>473</v>
      </c>
      <c r="F89" t="s">
        <v>474</v>
      </c>
      <c r="G89" s="2">
        <v>32195</v>
      </c>
      <c r="H89" t="s">
        <v>30</v>
      </c>
      <c r="I89" t="s">
        <v>75</v>
      </c>
      <c r="J89" t="s">
        <v>32</v>
      </c>
      <c r="K89" t="s">
        <v>475</v>
      </c>
      <c r="L89" t="s">
        <v>34</v>
      </c>
      <c r="M89" s="2"/>
      <c r="N89" t="s">
        <v>476</v>
      </c>
      <c r="O89" s="2">
        <f>DATE(YEAR(G89) + P89, MONTH(G89), DAY(G89))</f>
        <v>57398</v>
      </c>
      <c r="P89">
        <v>69</v>
      </c>
      <c r="Q89" s="2"/>
      <c r="R89" t="s">
        <v>47</v>
      </c>
      <c r="S89" t="s">
        <v>37</v>
      </c>
      <c r="T89" s="2">
        <v>44293</v>
      </c>
      <c r="U89" t="s">
        <v>103</v>
      </c>
      <c r="V89" t="s">
        <v>66</v>
      </c>
      <c r="W89">
        <v>10</v>
      </c>
      <c r="X89" s="1">
        <v>2078</v>
      </c>
      <c r="Y89" s="1">
        <v>415.6</v>
      </c>
      <c r="Z89" s="1">
        <v>1662.4</v>
      </c>
      <c r="AA89" s="3">
        <v>892</v>
      </c>
      <c r="AK89" s="3"/>
      <c r="AM89" s="4"/>
      <c r="AO89" s="4"/>
      <c r="BA89" s="2"/>
      <c r="BB89" s="2"/>
      <c r="BD89" s="4"/>
      <c r="BF89" s="4"/>
      <c r="BM89" s="2"/>
      <c r="BO89" s="4"/>
      <c r="BQ89" s="4"/>
      <c r="CI89" s="2"/>
      <c r="CN89" s="2"/>
      <c r="CQ89" s="2"/>
      <c r="CV89" s="4"/>
      <c r="CX89" s="4"/>
      <c r="DC89" s="2"/>
      <c r="DE89" s="2"/>
      <c r="DF89" s="2"/>
      <c r="DV89" s="2"/>
      <c r="DW89" s="2"/>
      <c r="EF89" s="4"/>
      <c r="EH89" s="4"/>
      <c r="ER89" s="2"/>
      <c r="ES89" s="2"/>
      <c r="EX89" s="4"/>
      <c r="EZ89" s="4"/>
      <c r="FQ89" s="4"/>
      <c r="FS89" s="4"/>
      <c r="GE89" s="2"/>
      <c r="GJ89" s="4"/>
      <c r="GL89" s="4"/>
      <c r="GR89" s="2"/>
      <c r="GV89" s="2"/>
      <c r="GX89" s="3"/>
      <c r="GY89" s="3"/>
      <c r="HB89" s="3"/>
      <c r="HS89" s="4"/>
      <c r="HU89" s="4"/>
      <c r="II89" s="4"/>
      <c r="IK89" s="4"/>
      <c r="IS89" s="2"/>
      <c r="IT89" s="2"/>
      <c r="IV89" s="2"/>
      <c r="IW89" s="4"/>
      <c r="IY89" s="4"/>
      <c r="JH89" s="2"/>
      <c r="JK89" s="4"/>
      <c r="JM89" s="4"/>
      <c r="KD89" s="4"/>
      <c r="KF89" s="4"/>
      <c r="KJ89" s="4"/>
      <c r="KT89" s="2"/>
      <c r="KW89" s="2"/>
      <c r="LC89" s="2"/>
      <c r="LF89" s="2"/>
      <c r="LK89" s="2"/>
      <c r="LT89" s="4"/>
      <c r="NB89" s="2"/>
      <c r="NC89" s="2"/>
      <c r="NH89" s="3"/>
      <c r="NJ89" s="2"/>
      <c r="NN89" s="2"/>
      <c r="NO89" s="2"/>
      <c r="NT89" s="4"/>
      <c r="NV89" s="4"/>
      <c r="OA89" s="2"/>
      <c r="OB89" s="2"/>
      <c r="OK89" s="3"/>
      <c r="ON89" s="2"/>
      <c r="OR89" s="4"/>
      <c r="OT89" s="4"/>
      <c r="PD89" s="2"/>
      <c r="PH89" s="2"/>
      <c r="PQ89" s="2"/>
      <c r="PX89" s="2"/>
      <c r="PY89" s="3"/>
      <c r="PZ89" s="2"/>
      <c r="QF89" s="4"/>
      <c r="QH89" s="4"/>
      <c r="QZ89" s="2"/>
      <c r="RA89" s="2"/>
      <c r="RN89" s="4"/>
      <c r="RO89" s="4"/>
      <c r="RR89" s="2"/>
      <c r="RT89" s="2"/>
      <c r="RU89" s="2"/>
      <c r="SA89" s="4"/>
      <c r="SN89" s="2"/>
      <c r="SQ89" s="4"/>
      <c r="SS89" s="4"/>
      <c r="TG89" s="2"/>
      <c r="TH89" s="2"/>
      <c r="TI89" s="2"/>
      <c r="TU89" s="4"/>
      <c r="TW89" s="4"/>
    </row>
    <row r="90" spans="1:543">
      <c r="A90">
        <v>8800</v>
      </c>
      <c r="B90">
        <v>5512</v>
      </c>
      <c r="C90" s="3" t="s">
        <v>477</v>
      </c>
      <c r="D90" t="s">
        <v>478</v>
      </c>
      <c r="E90" t="s">
        <v>479</v>
      </c>
      <c r="F90" t="s">
        <v>480</v>
      </c>
      <c r="G90" s="2">
        <v>39451</v>
      </c>
      <c r="H90" t="s">
        <v>30</v>
      </c>
      <c r="I90" t="s">
        <v>137</v>
      </c>
      <c r="J90" t="s">
        <v>32</v>
      </c>
      <c r="K90" t="s">
        <v>481</v>
      </c>
      <c r="L90" t="s">
        <v>34</v>
      </c>
      <c r="M90" s="2">
        <v>44841</v>
      </c>
      <c r="N90" t="s">
        <v>482</v>
      </c>
      <c r="O90" s="2">
        <f>DATE(YEAR(G90) + P90, MONTH(G90), DAY(G90))</f>
        <v>63193</v>
      </c>
      <c r="P90">
        <v>65</v>
      </c>
      <c r="Q90" s="2"/>
      <c r="R90" t="s">
        <v>47</v>
      </c>
      <c r="S90" t="s">
        <v>102</v>
      </c>
      <c r="T90" t="s">
        <v>483</v>
      </c>
      <c r="U90" t="s">
        <v>49</v>
      </c>
      <c r="V90" t="s">
        <v>56</v>
      </c>
      <c r="W90">
        <v>10</v>
      </c>
      <c r="X90" s="1">
        <v>20069</v>
      </c>
      <c r="Y90" s="1">
        <v>4013.8</v>
      </c>
      <c r="Z90" s="1">
        <v>16055.2</v>
      </c>
      <c r="AA90" s="3">
        <v>58</v>
      </c>
      <c r="AK90" s="3"/>
      <c r="AM90" s="4"/>
      <c r="AO90" s="4"/>
      <c r="BA90" s="2"/>
      <c r="BB90" s="2"/>
      <c r="BD90" s="4"/>
      <c r="BF90" s="4"/>
      <c r="BM90" s="2"/>
      <c r="BO90" s="4"/>
      <c r="BQ90" s="4"/>
      <c r="CI90" s="2"/>
      <c r="CJ90" s="2"/>
      <c r="CN90" s="2"/>
      <c r="CP90" s="3"/>
      <c r="CQ90" s="2"/>
      <c r="CV90" s="4"/>
      <c r="CX90" s="4"/>
      <c r="DB90" s="2"/>
      <c r="DC90" s="2"/>
      <c r="DE90" s="2"/>
      <c r="DF90" s="2"/>
      <c r="DV90" s="2"/>
      <c r="DW90" s="2"/>
      <c r="DY90" s="3"/>
      <c r="EF90" s="4"/>
      <c r="EH90" s="4"/>
      <c r="ER90" s="2"/>
      <c r="ES90" s="2"/>
      <c r="EZ90" s="4"/>
      <c r="FQ90" s="4"/>
      <c r="FS90" s="4"/>
      <c r="GD90" s="3"/>
      <c r="GE90" s="2"/>
      <c r="GJ90" s="4"/>
      <c r="GL90" s="4"/>
      <c r="GR90" s="2"/>
      <c r="GS90" s="3"/>
      <c r="GV90" s="2"/>
      <c r="GY90" s="3"/>
      <c r="HB90" s="3"/>
      <c r="HP90" s="2"/>
      <c r="HS90" s="4"/>
      <c r="HU90" s="4"/>
      <c r="II90" s="4"/>
      <c r="IK90" s="4"/>
      <c r="IS90" s="2"/>
      <c r="IT90" s="2"/>
      <c r="IV90" s="2"/>
      <c r="IW90" s="4"/>
      <c r="IY90" s="4"/>
      <c r="JH90" s="2"/>
      <c r="JK90" s="4"/>
      <c r="JM90" s="4"/>
      <c r="JZ90" s="2"/>
      <c r="KD90" s="4"/>
      <c r="KF90" s="4"/>
      <c r="KJ90" s="4"/>
      <c r="KT90" s="2"/>
      <c r="KU90" s="2"/>
      <c r="KW90" s="2"/>
      <c r="LC90" s="2"/>
      <c r="LF90" s="2"/>
      <c r="LK90" s="2"/>
      <c r="LT90" s="4"/>
      <c r="LV90" s="4"/>
      <c r="MC90" s="3"/>
      <c r="MF90" s="3"/>
      <c r="NB90" s="2"/>
      <c r="NC90" s="2"/>
      <c r="NJ90" s="2"/>
      <c r="NN90" s="2"/>
      <c r="NO90" s="2"/>
      <c r="NT90" s="4"/>
      <c r="NV90" s="4"/>
      <c r="OB90" s="2"/>
      <c r="ON90" s="2"/>
      <c r="OR90" s="4"/>
      <c r="OT90" s="4"/>
      <c r="PD90" s="2"/>
      <c r="PH90" s="2"/>
      <c r="PQ90" s="2"/>
      <c r="PX90" s="2"/>
      <c r="PZ90" s="2"/>
      <c r="QF90" s="4"/>
      <c r="QH90" s="4"/>
      <c r="QZ90" s="2"/>
      <c r="RA90" s="2"/>
      <c r="RN90" s="4"/>
      <c r="RO90" s="4"/>
      <c r="RR90" s="2"/>
      <c r="RT90" s="2"/>
      <c r="RU90" s="2"/>
      <c r="SA90" s="4"/>
      <c r="SC90" s="4"/>
      <c r="SN90" s="2"/>
      <c r="SQ90" s="4"/>
      <c r="SS90" s="4"/>
      <c r="TG90" s="2"/>
      <c r="TH90" s="2"/>
      <c r="TI90" s="2"/>
      <c r="TU90" s="4"/>
      <c r="TW90" s="4"/>
    </row>
    <row r="91" spans="1:543">
      <c r="A91">
        <v>861</v>
      </c>
      <c r="B91">
        <v>2174</v>
      </c>
      <c r="C91" s="3" t="s">
        <v>484</v>
      </c>
      <c r="D91" t="s">
        <v>421</v>
      </c>
      <c r="E91" t="s">
        <v>485</v>
      </c>
      <c r="F91" t="s">
        <v>486</v>
      </c>
      <c r="G91" s="2">
        <v>40339</v>
      </c>
      <c r="H91" t="s">
        <v>43</v>
      </c>
      <c r="I91" t="s">
        <v>137</v>
      </c>
      <c r="J91" t="s">
        <v>61</v>
      </c>
      <c r="K91" t="s">
        <v>487</v>
      </c>
      <c r="L91" t="s">
        <v>77</v>
      </c>
      <c r="M91" s="2">
        <v>44384</v>
      </c>
      <c r="N91" t="s">
        <v>488</v>
      </c>
      <c r="O91" s="2">
        <f>DATE(YEAR(G91) + P91, MONTH(G91), DAY(G91))</f>
        <v>62254</v>
      </c>
      <c r="P91">
        <v>60</v>
      </c>
      <c r="Q91" s="2"/>
      <c r="R91" t="s">
        <v>47</v>
      </c>
      <c r="S91" t="s">
        <v>102</v>
      </c>
      <c r="T91" s="2">
        <v>44560</v>
      </c>
      <c r="U91" t="s">
        <v>65</v>
      </c>
      <c r="V91" t="s">
        <v>39</v>
      </c>
      <c r="W91">
        <v>15</v>
      </c>
      <c r="X91" s="1">
        <v>82109</v>
      </c>
      <c r="Y91" s="1">
        <v>16421.8</v>
      </c>
      <c r="Z91" s="1">
        <v>65687.199999999997</v>
      </c>
      <c r="AA91" s="3">
        <v>1628</v>
      </c>
      <c r="AK91" s="3"/>
      <c r="AM91" s="4"/>
      <c r="AO91" s="4"/>
      <c r="BA91" s="2"/>
      <c r="BB91" s="2"/>
      <c r="BD91" s="4"/>
      <c r="BF91" s="4"/>
      <c r="BM91" s="2"/>
      <c r="BO91" s="4"/>
      <c r="BQ91" s="4"/>
      <c r="CI91" s="2"/>
      <c r="CJ91" s="2"/>
      <c r="CP91" s="3"/>
      <c r="CQ91" s="2"/>
      <c r="CV91" s="4"/>
      <c r="CX91" s="4"/>
      <c r="DB91" s="2"/>
      <c r="DC91" s="2"/>
      <c r="DE91" s="2"/>
      <c r="DF91" s="2"/>
      <c r="DV91" s="2"/>
      <c r="DW91" s="2"/>
      <c r="EF91" s="4"/>
      <c r="EH91" s="4"/>
      <c r="ES91" s="2"/>
      <c r="EX91" s="4"/>
      <c r="EZ91" s="4"/>
      <c r="FQ91" s="4"/>
      <c r="FS91" s="4"/>
      <c r="GE91" s="2"/>
      <c r="GJ91" s="4"/>
      <c r="GL91" s="4"/>
      <c r="GR91" s="2"/>
      <c r="GS91" s="3"/>
      <c r="GT91" s="3"/>
      <c r="GV91" s="2"/>
      <c r="GW91" s="3"/>
      <c r="GX91" s="3"/>
      <c r="HB91" s="3"/>
      <c r="HP91" s="2"/>
      <c r="HS91" s="4"/>
      <c r="HU91" s="4"/>
      <c r="II91" s="4"/>
      <c r="IK91" s="4"/>
      <c r="IT91" s="2"/>
      <c r="IV91" s="2"/>
      <c r="IW91" s="4"/>
      <c r="IY91" s="4"/>
      <c r="JH91" s="2"/>
      <c r="JK91" s="4"/>
      <c r="JM91" s="4"/>
      <c r="JZ91" s="2"/>
      <c r="KA91" s="3"/>
      <c r="KD91" s="4"/>
      <c r="KF91" s="4"/>
      <c r="KJ91" s="4"/>
      <c r="KT91" s="2"/>
      <c r="KU91" s="2"/>
      <c r="KW91" s="2"/>
      <c r="LC91" s="2"/>
      <c r="LF91" s="2"/>
      <c r="LK91" s="2"/>
      <c r="LT91" s="4"/>
      <c r="ME91" s="3"/>
      <c r="ML91" s="3"/>
      <c r="NB91" s="2"/>
      <c r="NG91" s="5"/>
      <c r="NJ91" s="2"/>
      <c r="NN91" s="2"/>
      <c r="NO91" s="2"/>
      <c r="NT91" s="4"/>
      <c r="NV91" s="4"/>
      <c r="OB91" s="2"/>
      <c r="OJ91" s="3"/>
      <c r="ON91" s="2"/>
      <c r="OR91" s="4"/>
      <c r="OT91" s="4"/>
      <c r="PD91" s="2"/>
      <c r="PH91" s="2"/>
      <c r="PQ91" s="2"/>
      <c r="PX91" s="2"/>
      <c r="PZ91" s="2"/>
      <c r="QF91" s="4"/>
      <c r="QH91" s="4"/>
      <c r="RA91" s="2"/>
      <c r="RN91" s="4"/>
      <c r="RO91" s="4"/>
      <c r="RR91" s="2"/>
      <c r="RT91" s="2"/>
      <c r="RU91" s="2"/>
      <c r="SA91" s="4"/>
      <c r="SC91" s="4"/>
      <c r="SN91" s="2"/>
      <c r="SQ91" s="4"/>
      <c r="SS91" s="4"/>
      <c r="TG91" s="2"/>
      <c r="TH91" s="2"/>
      <c r="TU91" s="4"/>
      <c r="TW91" s="4"/>
    </row>
    <row r="92" spans="1:543">
      <c r="A92">
        <v>1971</v>
      </c>
      <c r="B92">
        <v>1091</v>
      </c>
      <c r="C92">
        <v>3201478159</v>
      </c>
      <c r="D92" t="s">
        <v>72</v>
      </c>
      <c r="E92" t="s">
        <v>489</v>
      </c>
      <c r="F92" t="s">
        <v>490</v>
      </c>
      <c r="G92" s="2">
        <v>35719</v>
      </c>
      <c r="H92" t="s">
        <v>43</v>
      </c>
      <c r="I92" t="s">
        <v>44</v>
      </c>
      <c r="J92" t="s">
        <v>61</v>
      </c>
      <c r="K92" t="s">
        <v>491</v>
      </c>
      <c r="L92" t="s">
        <v>95</v>
      </c>
      <c r="M92" s="2">
        <v>43983</v>
      </c>
      <c r="N92" t="s">
        <v>492</v>
      </c>
      <c r="O92" s="2">
        <f>DATE(YEAR(G92) + P92, MONTH(G92), DAY(G92))</f>
        <v>57999</v>
      </c>
      <c r="P92">
        <v>61</v>
      </c>
      <c r="Q92" s="2"/>
      <c r="R92" t="s">
        <v>47</v>
      </c>
      <c r="S92" t="s">
        <v>102</v>
      </c>
      <c r="T92" s="2">
        <v>37595</v>
      </c>
      <c r="U92" t="s">
        <v>133</v>
      </c>
      <c r="V92" t="s">
        <v>56</v>
      </c>
      <c r="W92">
        <v>1</v>
      </c>
      <c r="X92" s="1">
        <v>60431</v>
      </c>
      <c r="Y92" s="1">
        <v>12086.2</v>
      </c>
      <c r="Z92" s="1">
        <v>48344.800000000003</v>
      </c>
      <c r="AA92" s="3">
        <v>1490</v>
      </c>
      <c r="AK92" s="3"/>
      <c r="AM92" s="4"/>
      <c r="AO92" s="4"/>
      <c r="BA92" s="2"/>
      <c r="BB92" s="2"/>
      <c r="BD92" s="4"/>
      <c r="BF92" s="4"/>
      <c r="BM92" s="2"/>
      <c r="BO92" s="4"/>
      <c r="BQ92" s="4"/>
      <c r="CI92" s="2"/>
      <c r="CJ92" s="2"/>
      <c r="CN92" s="2"/>
      <c r="CQ92" s="2"/>
      <c r="CV92" s="4"/>
      <c r="CX92" s="4"/>
      <c r="DB92" s="2"/>
      <c r="DC92" s="2"/>
      <c r="DE92" s="2"/>
      <c r="DF92" s="2"/>
      <c r="DV92" s="2"/>
      <c r="DW92" s="2"/>
      <c r="EF92" s="4"/>
      <c r="EH92" s="4"/>
      <c r="ES92" s="2"/>
      <c r="EX92" s="4"/>
      <c r="EZ92" s="4"/>
      <c r="FQ92" s="4"/>
      <c r="FS92" s="4"/>
      <c r="GE92" s="2"/>
      <c r="GJ92" s="4"/>
      <c r="GL92" s="4"/>
      <c r="GR92" s="2"/>
      <c r="GV92" s="2"/>
      <c r="GW92" s="3"/>
      <c r="GX92" s="3"/>
      <c r="GY92" s="3"/>
      <c r="HB92" s="3"/>
      <c r="HP92" s="2"/>
      <c r="HS92" s="4"/>
      <c r="HU92" s="4"/>
      <c r="IK92" s="4"/>
      <c r="IS92" s="2"/>
      <c r="IT92" s="2"/>
      <c r="IV92" s="2"/>
      <c r="IW92" s="4"/>
      <c r="IY92" s="4"/>
      <c r="JH92" s="2"/>
      <c r="JM92" s="4"/>
      <c r="JZ92" s="2"/>
      <c r="KD92" s="4"/>
      <c r="KF92" s="4"/>
      <c r="KJ92" s="4"/>
      <c r="KT92" s="2"/>
      <c r="KU92" s="2"/>
      <c r="KW92" s="2"/>
      <c r="LC92" s="2"/>
      <c r="LF92" s="2"/>
      <c r="LK92" s="2"/>
      <c r="LT92" s="4"/>
      <c r="LV92" s="4"/>
      <c r="MA92" s="3"/>
      <c r="ME92" s="3"/>
      <c r="MG92" s="3"/>
      <c r="NC92" s="2"/>
      <c r="NH92" s="3"/>
      <c r="NJ92" s="2"/>
      <c r="NN92" s="2"/>
      <c r="NO92" s="2"/>
      <c r="NT92" s="4"/>
      <c r="NV92" s="4"/>
      <c r="OA92" s="2"/>
      <c r="OB92" s="2"/>
      <c r="ON92" s="2"/>
      <c r="OR92" s="4"/>
      <c r="OT92" s="4"/>
      <c r="PD92" s="2"/>
      <c r="PX92" s="2"/>
      <c r="PZ92" s="2"/>
      <c r="QF92" s="4"/>
      <c r="QH92" s="4"/>
      <c r="QZ92" s="2"/>
      <c r="RN92" s="4"/>
      <c r="RO92" s="4"/>
      <c r="RR92" s="2"/>
      <c r="RT92" s="2"/>
      <c r="RU92" s="2"/>
      <c r="SA92" s="4"/>
      <c r="SC92" s="4"/>
      <c r="SN92" s="2"/>
      <c r="SS92" s="4"/>
      <c r="TG92" s="2"/>
      <c r="TH92" s="2"/>
      <c r="TI92" s="2"/>
      <c r="TN92" s="3"/>
      <c r="TU92" s="4"/>
      <c r="TW92" s="4"/>
    </row>
    <row r="93" spans="1:543">
      <c r="A93">
        <v>8874</v>
      </c>
      <c r="B93">
        <v>1587</v>
      </c>
      <c r="C93">
        <v>4030864166</v>
      </c>
      <c r="D93" t="s">
        <v>104</v>
      </c>
      <c r="E93" t="s">
        <v>493</v>
      </c>
      <c r="F93" t="s">
        <v>494</v>
      </c>
      <c r="G93" s="2">
        <v>39970</v>
      </c>
      <c r="H93" t="s">
        <v>43</v>
      </c>
      <c r="I93" t="s">
        <v>31</v>
      </c>
      <c r="J93" t="s">
        <v>61</v>
      </c>
      <c r="K93" t="s">
        <v>495</v>
      </c>
      <c r="L93" t="s">
        <v>95</v>
      </c>
      <c r="M93" s="2">
        <v>39307</v>
      </c>
      <c r="N93" t="s">
        <v>496</v>
      </c>
      <c r="O93" s="2">
        <f>DATE(YEAR(G93) + P93, MONTH(G93), DAY(G93))</f>
        <v>64807</v>
      </c>
      <c r="P93">
        <v>68</v>
      </c>
      <c r="Q93" s="2"/>
      <c r="R93" t="s">
        <v>47</v>
      </c>
      <c r="S93" t="s">
        <v>64</v>
      </c>
      <c r="T93" s="2">
        <v>23292</v>
      </c>
      <c r="U93" t="s">
        <v>65</v>
      </c>
      <c r="V93" t="s">
        <v>38</v>
      </c>
      <c r="W93">
        <v>13</v>
      </c>
      <c r="X93" s="1">
        <v>60320</v>
      </c>
      <c r="Y93" s="1">
        <v>12064</v>
      </c>
      <c r="Z93" s="1">
        <v>48256</v>
      </c>
      <c r="AA93" s="3">
        <v>1600</v>
      </c>
      <c r="AK93" s="3"/>
      <c r="AO93" s="4"/>
      <c r="BA93" s="2"/>
      <c r="BB93" s="2"/>
      <c r="BD93" s="4"/>
      <c r="BF93" s="4"/>
      <c r="BM93" s="2"/>
      <c r="BO93" s="4"/>
      <c r="BQ93" s="4"/>
      <c r="CI93" s="2"/>
      <c r="CJ93" s="2"/>
      <c r="CM93" s="3"/>
      <c r="CN93" s="2"/>
      <c r="CP93" s="3"/>
      <c r="CQ93" s="2"/>
      <c r="CV93" s="4"/>
      <c r="CX93" s="4"/>
      <c r="DA93" s="3"/>
      <c r="DB93" s="2"/>
      <c r="DC93" s="2"/>
      <c r="DE93" s="2"/>
      <c r="DF93" s="2"/>
      <c r="DV93" s="2"/>
      <c r="DW93" s="2"/>
      <c r="DY93" s="3"/>
      <c r="EF93" s="4"/>
      <c r="ER93" s="2"/>
      <c r="ES93" s="2"/>
      <c r="EV93" s="3"/>
      <c r="EX93" s="4"/>
      <c r="EZ93" s="4"/>
      <c r="FQ93" s="4"/>
      <c r="FS93" s="4"/>
      <c r="GE93" s="2"/>
      <c r="GJ93" s="4"/>
      <c r="GL93" s="4"/>
      <c r="GS93" s="3"/>
      <c r="GV93" s="2"/>
      <c r="GW93" s="3"/>
      <c r="GY93" s="3"/>
      <c r="HB93" s="3"/>
      <c r="HP93" s="2"/>
      <c r="HS93" s="4"/>
      <c r="HU93" s="4"/>
      <c r="II93" s="4"/>
      <c r="IS93" s="2"/>
      <c r="IT93" s="2"/>
      <c r="IV93" s="2"/>
      <c r="JH93" s="2"/>
      <c r="JK93" s="4"/>
      <c r="JM93" s="4"/>
      <c r="JZ93" s="2"/>
      <c r="KA93" s="3"/>
      <c r="KD93" s="4"/>
      <c r="KF93" s="4"/>
      <c r="KJ93" s="4"/>
      <c r="KT93" s="2"/>
      <c r="KU93" s="2"/>
      <c r="KW93" s="2"/>
      <c r="LC93" s="2"/>
      <c r="LF93" s="2"/>
      <c r="LK93" s="2"/>
      <c r="LT93" s="4"/>
      <c r="LV93" s="4"/>
      <c r="ME93" s="3"/>
      <c r="NC93" s="2"/>
      <c r="NJ93" s="2"/>
      <c r="NN93" s="2"/>
      <c r="NO93" s="2"/>
      <c r="NP93" s="3"/>
      <c r="NT93" s="4"/>
      <c r="NV93" s="4"/>
      <c r="OA93" s="2"/>
      <c r="OB93" s="2"/>
      <c r="ON93" s="2"/>
      <c r="OT93" s="4"/>
      <c r="PD93" s="2"/>
      <c r="PH93" s="2"/>
      <c r="PQ93" s="2"/>
      <c r="PX93" s="2"/>
      <c r="PZ93" s="2"/>
      <c r="QF93" s="4"/>
      <c r="QH93" s="4"/>
      <c r="QZ93" s="2"/>
      <c r="RA93" s="2"/>
      <c r="RN93" s="4"/>
      <c r="RO93" s="4"/>
      <c r="RR93" s="2"/>
      <c r="RT93" s="2"/>
      <c r="RU93" s="2"/>
      <c r="SA93" s="4"/>
      <c r="SC93" s="4"/>
      <c r="SN93" s="2"/>
      <c r="SQ93" s="4"/>
      <c r="SS93" s="4"/>
      <c r="TG93" s="2"/>
      <c r="TH93" s="2"/>
      <c r="TI93" s="2"/>
      <c r="TU93" s="4"/>
      <c r="TW93" s="4"/>
    </row>
    <row r="94" spans="1:543">
      <c r="A94">
        <v>7047</v>
      </c>
      <c r="B94">
        <v>6351</v>
      </c>
      <c r="C94">
        <v>7039602483</v>
      </c>
      <c r="D94" t="s">
        <v>172</v>
      </c>
      <c r="E94" t="s">
        <v>497</v>
      </c>
      <c r="F94" t="s">
        <v>498</v>
      </c>
      <c r="G94" s="2">
        <v>37597</v>
      </c>
      <c r="H94" t="s">
        <v>43</v>
      </c>
      <c r="I94" t="s">
        <v>143</v>
      </c>
      <c r="J94" t="s">
        <v>61</v>
      </c>
      <c r="K94" t="s">
        <v>499</v>
      </c>
      <c r="L94" t="s">
        <v>34</v>
      </c>
      <c r="M94" s="2">
        <v>44681</v>
      </c>
      <c r="N94" t="s">
        <v>500</v>
      </c>
      <c r="O94" s="2">
        <f>DATE(YEAR(G94) + P94, MONTH(G94), DAY(G94))</f>
        <v>61704</v>
      </c>
      <c r="P94">
        <v>66</v>
      </c>
      <c r="Q94" s="2"/>
      <c r="R94" t="s">
        <v>47</v>
      </c>
      <c r="S94" t="s">
        <v>48</v>
      </c>
      <c r="T94" s="2">
        <v>38356</v>
      </c>
      <c r="U94" t="s">
        <v>49</v>
      </c>
      <c r="V94" t="s">
        <v>39</v>
      </c>
      <c r="W94">
        <v>3</v>
      </c>
      <c r="X94" s="1">
        <v>20477</v>
      </c>
      <c r="Y94" s="1">
        <v>4095.4</v>
      </c>
      <c r="Z94" s="1">
        <v>16381.6</v>
      </c>
      <c r="AA94" s="3">
        <v>288</v>
      </c>
      <c r="AK94" s="3"/>
      <c r="AM94" s="4"/>
      <c r="AO94" s="4"/>
      <c r="BA94" s="2"/>
      <c r="BB94" s="2"/>
      <c r="BD94" s="4"/>
      <c r="BM94" s="2"/>
      <c r="BO94" s="4"/>
      <c r="BQ94" s="4"/>
      <c r="CI94" s="2"/>
      <c r="CJ94" s="2"/>
      <c r="CQ94" s="2"/>
      <c r="CV94" s="4"/>
      <c r="CX94" s="4"/>
      <c r="DB94" s="2"/>
      <c r="DC94" s="2"/>
      <c r="DD94" s="3"/>
      <c r="DE94" s="2"/>
      <c r="DF94" s="2"/>
      <c r="DG94" s="3"/>
      <c r="DV94" s="2"/>
      <c r="DW94" s="2"/>
      <c r="EF94" s="4"/>
      <c r="EH94" s="4"/>
      <c r="ER94" s="2"/>
      <c r="ES94" s="2"/>
      <c r="EV94" s="3"/>
      <c r="EX94" s="4"/>
      <c r="EZ94" s="4"/>
      <c r="FQ94" s="4"/>
      <c r="FS94" s="4"/>
      <c r="GJ94" s="4"/>
      <c r="GL94" s="4"/>
      <c r="GR94" s="2"/>
      <c r="GU94" s="3"/>
      <c r="GV94" s="2"/>
      <c r="GX94" s="3"/>
      <c r="HB94" s="3"/>
      <c r="HN94" s="3"/>
      <c r="HP94" s="2"/>
      <c r="HS94" s="4"/>
      <c r="HU94" s="4"/>
      <c r="II94" s="4"/>
      <c r="IK94" s="4"/>
      <c r="IS94" s="2"/>
      <c r="IT94" s="2"/>
      <c r="IW94" s="4"/>
      <c r="IY94" s="4"/>
      <c r="JH94" s="2"/>
      <c r="JK94" s="4"/>
      <c r="JM94" s="4"/>
      <c r="JZ94" s="2"/>
      <c r="KF94" s="4"/>
      <c r="KJ94" s="4"/>
      <c r="KT94" s="2"/>
      <c r="KU94" s="2"/>
      <c r="KW94" s="2"/>
      <c r="LC94" s="2"/>
      <c r="LF94" s="2"/>
      <c r="LK94" s="2"/>
      <c r="LM94" s="3"/>
      <c r="LT94" s="4"/>
      <c r="LV94" s="4"/>
      <c r="NB94" s="2"/>
      <c r="NC94" s="2"/>
      <c r="NG94" s="5"/>
      <c r="NJ94" s="2"/>
      <c r="NN94" s="2"/>
      <c r="NO94" s="2"/>
      <c r="NT94" s="4"/>
      <c r="NV94" s="4"/>
      <c r="OA94" s="2"/>
      <c r="OB94" s="2"/>
      <c r="OJ94" s="3"/>
      <c r="OR94" s="4"/>
      <c r="OT94" s="4"/>
      <c r="PD94" s="2"/>
      <c r="PH94" s="2"/>
      <c r="PP94" s="3"/>
      <c r="PQ94" s="2"/>
      <c r="PX94" s="2"/>
      <c r="PZ94" s="2"/>
      <c r="QF94" s="4"/>
      <c r="QH94" s="4"/>
      <c r="QZ94" s="2"/>
      <c r="RA94" s="2"/>
      <c r="RN94" s="4"/>
      <c r="RO94" s="4"/>
      <c r="RR94" s="2"/>
      <c r="RT94" s="2"/>
      <c r="RU94" s="2"/>
      <c r="SA94" s="4"/>
      <c r="SC94" s="4"/>
      <c r="SN94" s="2"/>
      <c r="SQ94" s="4"/>
      <c r="SS94" s="4"/>
      <c r="TG94" s="2"/>
      <c r="TH94" s="2"/>
      <c r="TI94" s="2"/>
      <c r="TU94" s="4"/>
      <c r="TW94" s="4"/>
    </row>
    <row r="95" spans="1:543">
      <c r="A95">
        <v>5483</v>
      </c>
      <c r="B95">
        <v>1626</v>
      </c>
      <c r="C95">
        <v>1103031521</v>
      </c>
      <c r="D95" t="s">
        <v>27</v>
      </c>
      <c r="E95" t="s">
        <v>501</v>
      </c>
      <c r="F95" t="s">
        <v>502</v>
      </c>
      <c r="G95" s="2">
        <v>37587</v>
      </c>
      <c r="H95" t="s">
        <v>30</v>
      </c>
      <c r="I95" t="s">
        <v>53</v>
      </c>
      <c r="J95" t="s">
        <v>32</v>
      </c>
      <c r="K95" t="s">
        <v>503</v>
      </c>
      <c r="L95" t="s">
        <v>95</v>
      </c>
      <c r="M95" s="2"/>
      <c r="N95" t="s">
        <v>504</v>
      </c>
      <c r="O95" s="2">
        <f>DATE(YEAR(G95) + P95, MONTH(G95), DAY(G95))</f>
        <v>62424</v>
      </c>
      <c r="P95">
        <v>68</v>
      </c>
      <c r="Q95" s="2">
        <v>32785</v>
      </c>
      <c r="R95" t="s">
        <v>36</v>
      </c>
      <c r="S95" t="s">
        <v>109</v>
      </c>
      <c r="T95" s="2">
        <v>39416</v>
      </c>
      <c r="U95" t="s">
        <v>103</v>
      </c>
      <c r="V95" t="s">
        <v>66</v>
      </c>
      <c r="W95">
        <v>11</v>
      </c>
      <c r="X95" s="1">
        <v>93598</v>
      </c>
      <c r="Y95" s="1">
        <v>18719.600000000002</v>
      </c>
      <c r="Z95" s="1">
        <v>74878.399999999994</v>
      </c>
      <c r="AA95" s="3">
        <v>1814</v>
      </c>
      <c r="AK95" s="3"/>
      <c r="AM95" s="4"/>
      <c r="BA95" s="2"/>
      <c r="BB95" s="2"/>
      <c r="BD95" s="4"/>
      <c r="BF95" s="4"/>
      <c r="BM95" s="2"/>
      <c r="BO95" s="4"/>
      <c r="BQ95" s="4"/>
      <c r="CI95" s="2"/>
      <c r="CJ95" s="2"/>
      <c r="CN95" s="2"/>
      <c r="CQ95" s="2"/>
      <c r="CV95" s="4"/>
      <c r="CX95" s="4"/>
      <c r="DC95" s="2"/>
      <c r="DE95" s="2"/>
      <c r="DF95" s="2"/>
      <c r="DV95" s="2"/>
      <c r="DW95" s="2"/>
      <c r="EF95" s="4"/>
      <c r="EH95" s="4"/>
      <c r="ER95" s="2"/>
      <c r="ES95" s="2"/>
      <c r="EZ95" s="4"/>
      <c r="FQ95" s="4"/>
      <c r="FS95" s="4"/>
      <c r="GE95" s="2"/>
      <c r="GJ95" s="4"/>
      <c r="GL95" s="4"/>
      <c r="GR95" s="2"/>
      <c r="GS95" s="3"/>
      <c r="GT95" s="3"/>
      <c r="GU95" s="3"/>
      <c r="GV95" s="2"/>
      <c r="HB95" s="3"/>
      <c r="HP95" s="2"/>
      <c r="HS95" s="4"/>
      <c r="HU95" s="4"/>
      <c r="II95" s="4"/>
      <c r="IK95" s="4"/>
      <c r="IS95" s="2"/>
      <c r="IT95" s="2"/>
      <c r="IV95" s="2"/>
      <c r="IW95" s="4"/>
      <c r="IY95" s="4"/>
      <c r="JH95" s="2"/>
      <c r="JK95" s="4"/>
      <c r="JM95" s="4"/>
      <c r="KA95" s="3"/>
      <c r="KD95" s="4"/>
      <c r="KF95" s="4"/>
      <c r="KI95" s="3"/>
      <c r="KT95" s="2"/>
      <c r="KU95" s="2"/>
      <c r="KW95" s="2"/>
      <c r="LC95" s="2"/>
      <c r="LF95" s="2"/>
      <c r="LK95" s="2"/>
      <c r="LM95" s="3"/>
      <c r="LT95" s="4"/>
      <c r="MN95" s="5"/>
      <c r="NB95" s="2"/>
      <c r="NC95" s="2"/>
      <c r="NJ95" s="2"/>
      <c r="NM95" s="3"/>
      <c r="NN95" s="2"/>
      <c r="NO95" s="2"/>
      <c r="NT95" s="4"/>
      <c r="NV95" s="4"/>
      <c r="OA95" s="2"/>
      <c r="OB95" s="2"/>
      <c r="OR95" s="4"/>
      <c r="OT95" s="4"/>
      <c r="PD95" s="2"/>
      <c r="PH95" s="2"/>
      <c r="PX95" s="2"/>
      <c r="QF95" s="4"/>
      <c r="QH95" s="4"/>
      <c r="QX95" s="3"/>
      <c r="QZ95" s="2"/>
      <c r="RA95" s="2"/>
      <c r="RN95" s="4"/>
      <c r="RR95" s="2"/>
      <c r="RT95" s="2"/>
      <c r="RU95" s="2"/>
      <c r="SC95" s="4"/>
      <c r="SN95" s="2"/>
      <c r="SQ95" s="4"/>
      <c r="SS95" s="4"/>
      <c r="TG95" s="2"/>
      <c r="TH95" s="2"/>
      <c r="TI95" s="2"/>
      <c r="TU95" s="4"/>
      <c r="TW95" s="4"/>
    </row>
    <row r="96" spans="1:543">
      <c r="A96">
        <v>3607</v>
      </c>
      <c r="B96">
        <v>2902</v>
      </c>
      <c r="C96">
        <v>8282072874</v>
      </c>
      <c r="D96" t="s">
        <v>110</v>
      </c>
      <c r="E96" t="s">
        <v>505</v>
      </c>
      <c r="F96" t="s">
        <v>506</v>
      </c>
      <c r="G96" s="2">
        <v>37560</v>
      </c>
      <c r="H96" t="s">
        <v>30</v>
      </c>
      <c r="I96" t="s">
        <v>260</v>
      </c>
      <c r="J96" t="s">
        <v>32</v>
      </c>
      <c r="K96" t="s">
        <v>507</v>
      </c>
      <c r="L96" t="s">
        <v>95</v>
      </c>
      <c r="M96" s="2"/>
      <c r="N96" t="s">
        <v>508</v>
      </c>
      <c r="O96" s="2">
        <f>DATE(YEAR(G96) + P96, MONTH(G96), DAY(G96))</f>
        <v>63128</v>
      </c>
      <c r="P96">
        <v>70</v>
      </c>
      <c r="Q96" s="2">
        <v>23290</v>
      </c>
      <c r="R96" t="s">
        <v>47</v>
      </c>
      <c r="S96" t="s">
        <v>181</v>
      </c>
      <c r="T96" s="2">
        <v>42520</v>
      </c>
      <c r="U96" t="s">
        <v>133</v>
      </c>
      <c r="V96" t="s">
        <v>39</v>
      </c>
      <c r="W96">
        <v>7</v>
      </c>
      <c r="X96" s="1">
        <v>21227</v>
      </c>
      <c r="Y96" s="1">
        <v>4245.4000000000005</v>
      </c>
      <c r="Z96" s="1">
        <v>16981.599999999999</v>
      </c>
      <c r="AA96" s="3">
        <v>918</v>
      </c>
      <c r="AK96" s="3"/>
      <c r="AM96" s="4"/>
      <c r="AO96" s="4"/>
      <c r="BA96" s="2"/>
      <c r="BB96" s="2"/>
      <c r="BD96" s="4"/>
      <c r="BF96" s="4"/>
      <c r="BM96" s="2"/>
      <c r="BO96" s="4"/>
      <c r="BQ96" s="4"/>
      <c r="CG96" s="3"/>
      <c r="CI96" s="2"/>
      <c r="CK96" s="3"/>
      <c r="CN96" s="2"/>
      <c r="CQ96" s="2"/>
      <c r="CV96" s="4"/>
      <c r="CX96" s="4"/>
      <c r="DB96" s="2"/>
      <c r="DC96" s="2"/>
      <c r="DE96" s="2"/>
      <c r="DF96" s="2"/>
      <c r="DV96" s="2"/>
      <c r="DW96" s="2"/>
      <c r="EH96" s="4"/>
      <c r="ES96" s="2"/>
      <c r="EX96" s="4"/>
      <c r="EZ96" s="4"/>
      <c r="FQ96" s="4"/>
      <c r="FS96" s="4"/>
      <c r="GE96" s="2"/>
      <c r="GG96" s="3"/>
      <c r="GJ96" s="4"/>
      <c r="GL96" s="4"/>
      <c r="GR96" s="2"/>
      <c r="GT96" s="3"/>
      <c r="GV96" s="2"/>
      <c r="GY96" s="3"/>
      <c r="HB96" s="3"/>
      <c r="HP96" s="2"/>
      <c r="HS96" s="4"/>
      <c r="HU96" s="4"/>
      <c r="IK96" s="4"/>
      <c r="IS96" s="2"/>
      <c r="IT96" s="2"/>
      <c r="IW96" s="4"/>
      <c r="IY96" s="4"/>
      <c r="JH96" s="2"/>
      <c r="JK96" s="4"/>
      <c r="JM96" s="4"/>
      <c r="KD96" s="4"/>
      <c r="KF96" s="4"/>
      <c r="KJ96" s="4"/>
      <c r="KT96" s="2"/>
      <c r="KU96" s="2"/>
      <c r="KW96" s="2"/>
      <c r="LC96" s="2"/>
      <c r="LF96" s="2"/>
      <c r="LK96" s="2"/>
      <c r="LT96" s="4"/>
      <c r="LV96" s="4"/>
      <c r="NB96" s="2"/>
      <c r="NC96" s="2"/>
      <c r="NJ96" s="2"/>
      <c r="NN96" s="2"/>
      <c r="NO96" s="2"/>
      <c r="NT96" s="4"/>
      <c r="NV96" s="4"/>
      <c r="OA96" s="2"/>
      <c r="OB96" s="2"/>
      <c r="OK96" s="3"/>
      <c r="ON96" s="2"/>
      <c r="OR96" s="4"/>
      <c r="OT96" s="4"/>
      <c r="PD96" s="2"/>
      <c r="PH96" s="2"/>
      <c r="PI96" s="3"/>
      <c r="PQ96" s="2"/>
      <c r="PX96" s="2"/>
      <c r="PZ96" s="2"/>
      <c r="QF96" s="4"/>
      <c r="QH96" s="4"/>
      <c r="QZ96" s="2"/>
      <c r="RO96" s="4"/>
      <c r="RR96" s="2"/>
      <c r="RT96" s="2"/>
      <c r="SA96" s="4"/>
      <c r="SC96" s="4"/>
      <c r="SN96" s="2"/>
      <c r="SQ96" s="4"/>
      <c r="SS96" s="4"/>
      <c r="TG96" s="2"/>
      <c r="TH96" s="2"/>
      <c r="TI96" s="2"/>
      <c r="TU96" s="4"/>
      <c r="TW96" s="4"/>
    </row>
    <row r="97" spans="1:543">
      <c r="A97">
        <v>2611</v>
      </c>
      <c r="B97">
        <v>2143</v>
      </c>
      <c r="C97">
        <v>5773862476</v>
      </c>
      <c r="D97" t="s">
        <v>287</v>
      </c>
      <c r="E97" t="s">
        <v>509</v>
      </c>
      <c r="F97" t="s">
        <v>510</v>
      </c>
      <c r="G97" s="2">
        <v>40274</v>
      </c>
      <c r="H97" t="s">
        <v>43</v>
      </c>
      <c r="I97" t="s">
        <v>60</v>
      </c>
      <c r="J97" t="s">
        <v>32</v>
      </c>
      <c r="K97" t="s">
        <v>511</v>
      </c>
      <c r="L97" t="s">
        <v>77</v>
      </c>
      <c r="M97" s="2"/>
      <c r="N97" t="s">
        <v>512</v>
      </c>
      <c r="O97" s="2">
        <f>DATE(YEAR(G97) + P97, MONTH(G97), DAY(G97))</f>
        <v>64746</v>
      </c>
      <c r="P97">
        <v>67</v>
      </c>
      <c r="Q97" s="2"/>
      <c r="R97" t="s">
        <v>47</v>
      </c>
      <c r="S97" t="s">
        <v>102</v>
      </c>
      <c r="T97" s="2">
        <v>36677</v>
      </c>
      <c r="U97" t="s">
        <v>65</v>
      </c>
      <c r="V97" t="s">
        <v>56</v>
      </c>
      <c r="W97">
        <v>22</v>
      </c>
      <c r="X97" s="1">
        <v>50799</v>
      </c>
      <c r="Y97" s="1">
        <v>10159.800000000001</v>
      </c>
      <c r="Z97" s="1">
        <v>40639.199999999997</v>
      </c>
      <c r="AA97" s="3">
        <v>760</v>
      </c>
      <c r="AK97" s="3"/>
      <c r="AM97" s="4"/>
      <c r="AO97" s="4"/>
      <c r="BA97" s="2"/>
      <c r="BB97" s="2"/>
      <c r="BD97" s="4"/>
      <c r="BF97" s="4"/>
      <c r="BM97" s="2"/>
      <c r="BO97" s="4"/>
      <c r="BQ97" s="4"/>
      <c r="CI97" s="2"/>
      <c r="CJ97" s="2"/>
      <c r="CK97" s="3"/>
      <c r="CN97" s="2"/>
      <c r="CQ97" s="2"/>
      <c r="CV97" s="4"/>
      <c r="CX97" s="4"/>
      <c r="DB97" s="2"/>
      <c r="DC97" s="2"/>
      <c r="DE97" s="2"/>
      <c r="DV97" s="2"/>
      <c r="EF97" s="4"/>
      <c r="EH97" s="4"/>
      <c r="ER97" s="2"/>
      <c r="ES97" s="2"/>
      <c r="EX97" s="4"/>
      <c r="EZ97" s="4"/>
      <c r="FQ97" s="4"/>
      <c r="GE97" s="2"/>
      <c r="GJ97" s="4"/>
      <c r="GL97" s="4"/>
      <c r="GR97" s="2"/>
      <c r="GS97" s="3"/>
      <c r="GU97" s="3"/>
      <c r="GV97" s="2"/>
      <c r="GX97" s="3"/>
      <c r="GY97" s="3"/>
      <c r="HB97" s="3"/>
      <c r="HP97" s="2"/>
      <c r="II97" s="4"/>
      <c r="IK97" s="4"/>
      <c r="IS97" s="2"/>
      <c r="IT97" s="2"/>
      <c r="IW97" s="4"/>
      <c r="IY97" s="4"/>
      <c r="JH97" s="2"/>
      <c r="JK97" s="4"/>
      <c r="JM97" s="4"/>
      <c r="JZ97" s="2"/>
      <c r="KC97" s="3"/>
      <c r="KD97" s="4"/>
      <c r="KF97" s="4"/>
      <c r="KJ97" s="4"/>
      <c r="KT97" s="2"/>
      <c r="KU97" s="2"/>
      <c r="KW97" s="2"/>
      <c r="LC97" s="2"/>
      <c r="LF97" s="2"/>
      <c r="LK97" s="2"/>
      <c r="LT97" s="4"/>
      <c r="LV97" s="4"/>
      <c r="NB97" s="2"/>
      <c r="NC97" s="2"/>
      <c r="NN97" s="2"/>
      <c r="NO97" s="2"/>
      <c r="NT97" s="4"/>
      <c r="NV97" s="4"/>
      <c r="OA97" s="2"/>
      <c r="OB97" s="2"/>
      <c r="ON97" s="2"/>
      <c r="OT97" s="4"/>
      <c r="PD97" s="2"/>
      <c r="PH97" s="2"/>
      <c r="PN97" s="3"/>
      <c r="PQ97" s="2"/>
      <c r="PZ97" s="2"/>
      <c r="QF97" s="4"/>
      <c r="QH97" s="4"/>
      <c r="QZ97" s="2"/>
      <c r="RA97" s="2"/>
      <c r="RR97" s="2"/>
      <c r="RT97" s="2"/>
      <c r="RU97" s="2"/>
      <c r="SA97" s="4"/>
      <c r="SC97" s="4"/>
      <c r="SN97" s="2"/>
      <c r="SQ97" s="4"/>
      <c r="SS97" s="4"/>
      <c r="TG97" s="2"/>
      <c r="TH97" s="2"/>
      <c r="TI97" s="2"/>
      <c r="TU97" s="4"/>
      <c r="TW97" s="4"/>
    </row>
    <row r="98" spans="1:543">
      <c r="A98">
        <v>5398</v>
      </c>
      <c r="B98">
        <v>5202</v>
      </c>
      <c r="C98">
        <v>6802724370</v>
      </c>
      <c r="D98" t="s">
        <v>166</v>
      </c>
      <c r="E98" t="s">
        <v>513</v>
      </c>
      <c r="F98" t="s">
        <v>514</v>
      </c>
      <c r="G98" s="2">
        <v>39744</v>
      </c>
      <c r="H98" t="s">
        <v>30</v>
      </c>
      <c r="I98" t="s">
        <v>53</v>
      </c>
      <c r="J98" t="s">
        <v>32</v>
      </c>
      <c r="K98" t="s">
        <v>515</v>
      </c>
      <c r="L98" t="s">
        <v>77</v>
      </c>
      <c r="M98" s="2"/>
      <c r="N98" t="s">
        <v>516</v>
      </c>
      <c r="O98" s="2">
        <f>DATE(YEAR(G98) + P98, MONTH(G98), DAY(G98))</f>
        <v>63850</v>
      </c>
      <c r="P98">
        <v>66</v>
      </c>
      <c r="Q98" s="2"/>
      <c r="R98" t="s">
        <v>47</v>
      </c>
      <c r="S98" t="s">
        <v>37</v>
      </c>
      <c r="T98" s="2">
        <v>28474</v>
      </c>
      <c r="U98" t="s">
        <v>65</v>
      </c>
      <c r="V98" t="s">
        <v>39</v>
      </c>
      <c r="W98">
        <v>23</v>
      </c>
      <c r="X98" s="1">
        <v>19672</v>
      </c>
      <c r="Y98" s="1">
        <v>3934.4</v>
      </c>
      <c r="Z98" s="1">
        <v>15737.6</v>
      </c>
      <c r="AA98" s="3">
        <v>1172</v>
      </c>
      <c r="AJ98" s="3"/>
      <c r="AK98" s="3"/>
      <c r="AM98" s="4"/>
      <c r="AO98" s="4"/>
      <c r="BA98" s="2"/>
      <c r="BB98" s="2"/>
      <c r="BD98" s="4"/>
      <c r="BF98" s="4"/>
      <c r="BM98" s="2"/>
      <c r="BQ98" s="4"/>
      <c r="CI98" s="2"/>
      <c r="CJ98" s="2"/>
      <c r="CN98" s="2"/>
      <c r="CQ98" s="2"/>
      <c r="CV98" s="4"/>
      <c r="CX98" s="4"/>
      <c r="DA98" s="3"/>
      <c r="DB98" s="2"/>
      <c r="DC98" s="2"/>
      <c r="DE98" s="2"/>
      <c r="DF98" s="2"/>
      <c r="DV98" s="2"/>
      <c r="DW98" s="2"/>
      <c r="EF98" s="4"/>
      <c r="EH98" s="4"/>
      <c r="ES98" s="2"/>
      <c r="EX98" s="4"/>
      <c r="EZ98" s="4"/>
      <c r="FQ98" s="4"/>
      <c r="FS98" s="4"/>
      <c r="GE98" s="2"/>
      <c r="GJ98" s="4"/>
      <c r="GL98" s="4"/>
      <c r="GR98" s="2"/>
      <c r="GS98" s="3"/>
      <c r="GT98" s="3"/>
      <c r="GV98" s="2"/>
      <c r="GX98" s="3"/>
      <c r="HB98" s="3"/>
      <c r="HP98" s="2"/>
      <c r="HS98" s="4"/>
      <c r="HU98" s="4"/>
      <c r="II98" s="4"/>
      <c r="IK98" s="4"/>
      <c r="IS98" s="2"/>
      <c r="IT98" s="2"/>
      <c r="IV98" s="2"/>
      <c r="IW98" s="4"/>
      <c r="IY98" s="4"/>
      <c r="JH98" s="2"/>
      <c r="JK98" s="4"/>
      <c r="JM98" s="4"/>
      <c r="JZ98" s="2"/>
      <c r="KD98" s="4"/>
      <c r="KF98" s="4"/>
      <c r="KJ98" s="4"/>
      <c r="KT98" s="2"/>
      <c r="KU98" s="2"/>
      <c r="KW98" s="2"/>
      <c r="LC98" s="2"/>
      <c r="LF98" s="2"/>
      <c r="LK98" s="2"/>
      <c r="LT98" s="4"/>
      <c r="LV98" s="4"/>
      <c r="NB98" s="2"/>
      <c r="NC98" s="2"/>
      <c r="NG98" s="5"/>
      <c r="NJ98" s="2"/>
      <c r="NN98" s="2"/>
      <c r="NO98" s="2"/>
      <c r="NT98" s="4"/>
      <c r="NV98" s="4"/>
      <c r="OA98" s="2"/>
      <c r="OB98" s="2"/>
      <c r="ON98" s="2"/>
      <c r="OR98" s="4"/>
      <c r="OT98" s="4"/>
      <c r="PD98" s="2"/>
      <c r="PH98" s="2"/>
      <c r="PP98" s="3"/>
      <c r="PQ98" s="2"/>
      <c r="PX98" s="2"/>
      <c r="PZ98" s="2"/>
      <c r="QF98" s="4"/>
      <c r="QH98" s="4"/>
      <c r="QZ98" s="2"/>
      <c r="RN98" s="4"/>
      <c r="RO98" s="4"/>
      <c r="RR98" s="2"/>
      <c r="RT98" s="2"/>
      <c r="RU98" s="2"/>
      <c r="SA98" s="4"/>
      <c r="SC98" s="4"/>
      <c r="SN98" s="2"/>
      <c r="SQ98" s="4"/>
      <c r="SS98" s="4"/>
      <c r="TG98" s="2"/>
      <c r="TH98" s="2"/>
      <c r="TI98" s="2"/>
      <c r="TU98" s="4"/>
      <c r="TW98" s="4"/>
    </row>
    <row r="99" spans="1:543">
      <c r="A99">
        <v>8864</v>
      </c>
      <c r="B99">
        <v>8925</v>
      </c>
      <c r="C99">
        <v>5795448888</v>
      </c>
      <c r="D99" t="s">
        <v>267</v>
      </c>
      <c r="E99" t="s">
        <v>517</v>
      </c>
      <c r="F99" t="s">
        <v>518</v>
      </c>
      <c r="G99" s="2">
        <v>40245</v>
      </c>
      <c r="H99" t="s">
        <v>43</v>
      </c>
      <c r="I99" t="s">
        <v>236</v>
      </c>
      <c r="J99" t="s">
        <v>32</v>
      </c>
      <c r="K99" t="s">
        <v>519</v>
      </c>
      <c r="L99" t="s">
        <v>77</v>
      </c>
      <c r="M99" s="2"/>
      <c r="N99" t="s">
        <v>520</v>
      </c>
      <c r="O99" s="2">
        <f>DATE(YEAR(G99) + P99, MONTH(G99), DAY(G99))</f>
        <v>63256</v>
      </c>
      <c r="P99">
        <v>63</v>
      </c>
      <c r="Q99" s="2"/>
      <c r="R99" t="s">
        <v>47</v>
      </c>
      <c r="S99" t="s">
        <v>64</v>
      </c>
      <c r="T99" s="2">
        <v>29187</v>
      </c>
      <c r="U99" t="s">
        <v>133</v>
      </c>
      <c r="V99" t="s">
        <v>39</v>
      </c>
      <c r="W99">
        <v>28</v>
      </c>
      <c r="X99" s="1">
        <v>68640</v>
      </c>
      <c r="Y99" s="1">
        <v>13728</v>
      </c>
      <c r="Z99" s="1">
        <v>54912</v>
      </c>
      <c r="AA99" s="3">
        <v>178</v>
      </c>
      <c r="AK99" s="3"/>
      <c r="AM99" s="4"/>
      <c r="AO99" s="4"/>
      <c r="BA99" s="2"/>
      <c r="BB99" s="2"/>
      <c r="BD99" s="4"/>
      <c r="BF99" s="4"/>
      <c r="BM99" s="2"/>
      <c r="BQ99" s="4"/>
      <c r="CI99" s="2"/>
      <c r="CJ99" s="2"/>
      <c r="CN99" s="2"/>
      <c r="CQ99" s="2"/>
      <c r="CV99" s="4"/>
      <c r="CX99" s="4"/>
      <c r="DC99" s="2"/>
      <c r="DE99" s="2"/>
      <c r="DF99" s="2"/>
      <c r="DV99" s="2"/>
      <c r="DW99" s="2"/>
      <c r="EF99" s="4"/>
      <c r="EH99" s="4"/>
      <c r="ER99" s="2"/>
      <c r="ES99" s="2"/>
      <c r="EZ99" s="4"/>
      <c r="FS99" s="4"/>
      <c r="GE99" s="2"/>
      <c r="GJ99" s="4"/>
      <c r="GL99" s="4"/>
      <c r="GR99" s="2"/>
      <c r="GS99" s="3"/>
      <c r="GT99" s="3"/>
      <c r="GU99" s="3"/>
      <c r="GV99" s="2"/>
      <c r="GW99" s="3"/>
      <c r="GX99" s="3"/>
      <c r="GY99" s="3"/>
      <c r="HB99" s="3"/>
      <c r="HP99" s="2"/>
      <c r="HS99" s="4"/>
      <c r="HU99" s="4"/>
      <c r="IK99" s="4"/>
      <c r="IS99" s="2"/>
      <c r="IT99" s="2"/>
      <c r="IV99" s="2"/>
      <c r="IW99" s="4"/>
      <c r="IY99" s="4"/>
      <c r="JH99" s="2"/>
      <c r="JK99" s="4"/>
      <c r="JM99" s="4"/>
      <c r="JZ99" s="2"/>
      <c r="KD99" s="4"/>
      <c r="KF99" s="4"/>
      <c r="KT99" s="2"/>
      <c r="KU99" s="2"/>
      <c r="KW99" s="2"/>
      <c r="LC99" s="2"/>
      <c r="LF99" s="2"/>
      <c r="LK99" s="2"/>
      <c r="LT99" s="4"/>
      <c r="LV99" s="4"/>
      <c r="NB99" s="2"/>
      <c r="NC99" s="2"/>
      <c r="NG99" s="5"/>
      <c r="NJ99" s="2"/>
      <c r="NN99" s="2"/>
      <c r="NO99" s="2"/>
      <c r="NT99" s="4"/>
      <c r="NV99" s="4"/>
      <c r="OA99" s="2"/>
      <c r="OB99" s="2"/>
      <c r="ON99" s="2"/>
      <c r="OR99" s="4"/>
      <c r="OT99" s="4"/>
      <c r="PD99" s="2"/>
      <c r="PH99" s="2"/>
      <c r="PQ99" s="2"/>
      <c r="PX99" s="2"/>
      <c r="PZ99" s="2"/>
      <c r="QH99" s="4"/>
      <c r="QZ99" s="2"/>
      <c r="RA99" s="2"/>
      <c r="RN99" s="4"/>
      <c r="RO99" s="4"/>
      <c r="RR99" s="2"/>
      <c r="RT99" s="2"/>
      <c r="RU99" s="2"/>
      <c r="SA99" s="4"/>
      <c r="SC99" s="4"/>
      <c r="SN99" s="2"/>
      <c r="SQ99" s="4"/>
      <c r="SS99" s="4"/>
      <c r="TG99" s="2"/>
      <c r="TH99" s="2"/>
      <c r="TI99" s="2"/>
      <c r="TU99" s="4"/>
    </row>
    <row r="100" spans="1:543">
      <c r="A100">
        <v>6542</v>
      </c>
      <c r="B100">
        <v>5392</v>
      </c>
      <c r="C100">
        <v>1448378922</v>
      </c>
      <c r="D100" t="s">
        <v>27</v>
      </c>
      <c r="E100" t="s">
        <v>521</v>
      </c>
      <c r="F100" t="s">
        <v>522</v>
      </c>
      <c r="G100" s="2">
        <v>24059</v>
      </c>
      <c r="H100" t="s">
        <v>43</v>
      </c>
      <c r="I100" t="s">
        <v>523</v>
      </c>
      <c r="J100" t="s">
        <v>32</v>
      </c>
      <c r="K100" t="s">
        <v>524</v>
      </c>
      <c r="L100" t="s">
        <v>95</v>
      </c>
      <c r="M100" s="2"/>
      <c r="N100" t="s">
        <v>525</v>
      </c>
      <c r="O100" s="2">
        <f>DATE(YEAR(G100) + P100, MONTH(G100), DAY(G100))</f>
        <v>47800</v>
      </c>
      <c r="P100">
        <v>65</v>
      </c>
      <c r="Q100" s="2"/>
      <c r="R100" t="s">
        <v>47</v>
      </c>
      <c r="S100" t="s">
        <v>48</v>
      </c>
      <c r="T100" s="2">
        <v>26237</v>
      </c>
      <c r="U100" t="s">
        <v>49</v>
      </c>
      <c r="V100" t="s">
        <v>39</v>
      </c>
      <c r="W100">
        <v>21</v>
      </c>
      <c r="X100" s="1">
        <v>35002</v>
      </c>
      <c r="Y100" s="1">
        <v>7000.4000000000005</v>
      </c>
      <c r="Z100" s="1">
        <v>28001.599999999999</v>
      </c>
      <c r="AA100" s="3">
        <v>354</v>
      </c>
      <c r="AK100" s="3"/>
      <c r="AM100" s="4"/>
      <c r="AO100" s="4"/>
      <c r="BA100" s="2"/>
      <c r="BB100" s="2"/>
      <c r="BD100" s="4"/>
      <c r="BF100" s="4"/>
      <c r="BM100" s="2"/>
      <c r="BO100" s="4"/>
      <c r="BQ100" s="4"/>
      <c r="CH100" s="3"/>
      <c r="CI100" s="2"/>
      <c r="CJ100" s="2"/>
      <c r="CN100" s="2"/>
      <c r="CV100" s="4"/>
      <c r="DB100" s="2"/>
      <c r="DC100" s="2"/>
      <c r="DE100" s="2"/>
      <c r="DF100" s="2"/>
      <c r="DV100" s="2"/>
      <c r="DW100" s="2"/>
      <c r="EF100" s="4"/>
      <c r="EH100" s="4"/>
      <c r="ER100" s="2"/>
      <c r="ES100" s="2"/>
      <c r="EX100" s="4"/>
      <c r="EZ100" s="4"/>
      <c r="FQ100" s="4"/>
      <c r="FS100" s="4"/>
      <c r="GJ100" s="4"/>
      <c r="GL100" s="4"/>
      <c r="GR100" s="2"/>
      <c r="GU100" s="3"/>
      <c r="GV100" s="2"/>
      <c r="GX100" s="3"/>
      <c r="HB100" s="3"/>
      <c r="HP100" s="2"/>
      <c r="HS100" s="4"/>
      <c r="HU100" s="4"/>
      <c r="II100" s="4"/>
      <c r="IK100" s="4"/>
      <c r="IS100" s="2"/>
      <c r="IT100" s="2"/>
      <c r="IV100" s="2"/>
      <c r="IW100" s="4"/>
      <c r="IY100" s="4"/>
      <c r="JH100" s="2"/>
      <c r="JK100" s="4"/>
      <c r="JM100" s="4"/>
      <c r="KF100" s="4"/>
      <c r="KJ100" s="4"/>
      <c r="KT100" s="2"/>
      <c r="KU100" s="2"/>
      <c r="KW100" s="2"/>
      <c r="LC100" s="2"/>
      <c r="LF100" s="2"/>
      <c r="LK100" s="2"/>
      <c r="LT100" s="4"/>
      <c r="LV100" s="4"/>
      <c r="ME100" s="3"/>
      <c r="NC100" s="2"/>
      <c r="NJ100" s="2"/>
      <c r="NN100" s="2"/>
      <c r="NO100" s="2"/>
      <c r="NT100" s="4"/>
      <c r="NV100" s="4"/>
      <c r="OA100" s="2"/>
      <c r="OB100" s="2"/>
      <c r="OJ100" s="3"/>
      <c r="ON100" s="2"/>
      <c r="OR100" s="4"/>
      <c r="PD100" s="2"/>
      <c r="PH100" s="2"/>
      <c r="PK100" s="3"/>
      <c r="PN100" s="3"/>
      <c r="PQ100" s="2"/>
      <c r="PX100" s="2"/>
      <c r="PZ100" s="2"/>
      <c r="QF100" s="4"/>
      <c r="QH100" s="4"/>
      <c r="QZ100" s="2"/>
      <c r="RA100" s="2"/>
      <c r="RN100" s="4"/>
      <c r="RO100" s="4"/>
      <c r="RT100" s="2"/>
      <c r="RU100" s="2"/>
      <c r="SA100" s="4"/>
      <c r="SC100" s="4"/>
      <c r="SM100" s="3"/>
      <c r="SN100" s="2"/>
      <c r="SQ100" s="4"/>
      <c r="SS100" s="4"/>
      <c r="TG100" s="2"/>
      <c r="TH100" s="2"/>
      <c r="TI100" s="2"/>
      <c r="TU100" s="4"/>
      <c r="TW100" s="4"/>
    </row>
    <row r="101" spans="1:543">
      <c r="A101">
        <v>4639</v>
      </c>
      <c r="B101">
        <v>4628</v>
      </c>
      <c r="C101">
        <v>8680346011</v>
      </c>
      <c r="D101" t="s">
        <v>267</v>
      </c>
      <c r="E101" t="s">
        <v>526</v>
      </c>
      <c r="F101" t="s">
        <v>527</v>
      </c>
      <c r="G101" s="2">
        <v>36737</v>
      </c>
      <c r="H101" t="s">
        <v>30</v>
      </c>
      <c r="I101" t="s">
        <v>70</v>
      </c>
      <c r="J101" t="s">
        <v>61</v>
      </c>
      <c r="K101" t="s">
        <v>528</v>
      </c>
      <c r="L101" t="s">
        <v>95</v>
      </c>
      <c r="M101" s="2">
        <v>31686</v>
      </c>
      <c r="N101" t="s">
        <v>529</v>
      </c>
      <c r="O101" s="2">
        <f>DATE(YEAR(G101) + P101, MONTH(G101), DAY(G101))</f>
        <v>61574</v>
      </c>
      <c r="P101">
        <v>68</v>
      </c>
      <c r="Q101" s="2"/>
      <c r="R101" t="s">
        <v>47</v>
      </c>
      <c r="S101" t="s">
        <v>109</v>
      </c>
      <c r="T101" t="s">
        <v>530</v>
      </c>
      <c r="U101" t="s">
        <v>65</v>
      </c>
      <c r="V101" t="s">
        <v>66</v>
      </c>
      <c r="W101">
        <v>22</v>
      </c>
      <c r="X101" s="1">
        <v>9790</v>
      </c>
      <c r="Y101" s="1">
        <v>1958</v>
      </c>
      <c r="Z101" s="1">
        <v>7832</v>
      </c>
      <c r="AA101" s="3">
        <v>64</v>
      </c>
      <c r="AK101" s="3"/>
      <c r="AM101" s="4"/>
      <c r="AO101" s="4"/>
      <c r="BA101" s="2"/>
      <c r="BB101" s="2"/>
      <c r="BD101" s="4"/>
      <c r="BF101" s="4"/>
      <c r="BM101" s="2"/>
      <c r="BO101" s="4"/>
      <c r="BQ101" s="4"/>
      <c r="CI101" s="2"/>
      <c r="CJ101" s="2"/>
      <c r="CN101" s="2"/>
      <c r="CP101" s="3"/>
      <c r="CQ101" s="2"/>
      <c r="CV101" s="4"/>
      <c r="CX101" s="4"/>
      <c r="DB101" s="2"/>
      <c r="DC101" s="2"/>
      <c r="DF101" s="2"/>
      <c r="DG101" s="3"/>
      <c r="DV101" s="2"/>
      <c r="DW101" s="2"/>
      <c r="EF101" s="4"/>
      <c r="EH101" s="4"/>
      <c r="ES101" s="2"/>
      <c r="EX101" s="4"/>
      <c r="EZ101" s="4"/>
      <c r="FQ101" s="4"/>
      <c r="FS101" s="4"/>
      <c r="GE101" s="2"/>
      <c r="GJ101" s="4"/>
      <c r="GL101" s="4"/>
      <c r="GR101" s="2"/>
      <c r="GS101" s="3"/>
      <c r="GT101" s="3"/>
      <c r="GV101" s="2"/>
      <c r="GY101" s="3"/>
      <c r="HB101" s="3"/>
      <c r="HP101" s="2"/>
      <c r="HS101" s="4"/>
      <c r="HU101" s="4"/>
      <c r="II101" s="4"/>
      <c r="IK101" s="4"/>
      <c r="IT101" s="2"/>
      <c r="IV101" s="2"/>
      <c r="IW101" s="4"/>
      <c r="IY101" s="4"/>
      <c r="JH101" s="2"/>
      <c r="JK101" s="4"/>
      <c r="JM101" s="4"/>
      <c r="JZ101" s="2"/>
      <c r="KD101" s="4"/>
      <c r="KF101" s="4"/>
      <c r="KJ101" s="4"/>
      <c r="KT101" s="2"/>
      <c r="KU101" s="2"/>
      <c r="KW101" s="2"/>
      <c r="LC101" s="2"/>
      <c r="LF101" s="2"/>
      <c r="LK101" s="2"/>
      <c r="LT101" s="4"/>
      <c r="LV101" s="4"/>
      <c r="NB101" s="2"/>
      <c r="NC101" s="2"/>
      <c r="NG101" s="5"/>
      <c r="NJ101" s="2"/>
      <c r="NN101" s="2"/>
      <c r="NO101" s="2"/>
      <c r="NT101" s="4"/>
      <c r="NV101" s="4"/>
      <c r="OA101" s="2"/>
      <c r="OB101" s="2"/>
      <c r="ON101" s="2"/>
      <c r="OR101" s="4"/>
      <c r="OT101" s="4"/>
      <c r="PD101" s="2"/>
      <c r="PH101" s="2"/>
      <c r="PN101" s="3"/>
      <c r="PQ101" s="2"/>
      <c r="PX101" s="2"/>
      <c r="PY101" s="3"/>
      <c r="PZ101" s="2"/>
      <c r="QF101" s="4"/>
      <c r="QH101" s="4"/>
      <c r="QZ101" s="2"/>
      <c r="RA101" s="2"/>
      <c r="RN101" s="4"/>
      <c r="RO101" s="4"/>
      <c r="RR101" s="2"/>
      <c r="RT101" s="2"/>
      <c r="RU101" s="2"/>
      <c r="SA101" s="4"/>
      <c r="SC101" s="4"/>
      <c r="SN101" s="2"/>
      <c r="SQ101" s="4"/>
      <c r="SS101" s="4"/>
      <c r="TG101" s="2"/>
      <c r="TH101" s="2"/>
      <c r="TI101" s="2"/>
      <c r="TU101" s="4"/>
      <c r="TW101" s="4"/>
    </row>
    <row r="102" spans="1:543" ht="15" customHeight="1"/>
    <row r="103" spans="1:543" ht="15" customHeight="1"/>
    <row r="104" spans="1:543" ht="15" customHeight="1"/>
    <row r="105" spans="1:543" ht="15" customHeight="1"/>
    <row r="106" spans="1:543" ht="15" customHeight="1"/>
    <row r="107" spans="1:543" ht="15" customHeight="1"/>
    <row r="108" spans="1:543" ht="15" customHeight="1"/>
    <row r="109" spans="1:543" ht="15" customHeight="1"/>
    <row r="110" spans="1:543" ht="15" customHeight="1"/>
    <row r="111" spans="1:543" ht="15" customHeight="1"/>
    <row r="112" spans="1:543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69E0-1939-4B15-8C00-D956F82BDB8F}">
  <dimension ref="A1:TW426"/>
  <sheetViews>
    <sheetView workbookViewId="0">
      <selection sqref="A1:XFD1048576"/>
    </sheetView>
  </sheetViews>
  <sheetFormatPr defaultRowHeight="15"/>
  <cols>
    <col min="2" max="2" width="19.140625" customWidth="1"/>
    <col min="3" max="3" width="20.5703125" customWidth="1"/>
    <col min="4" max="4" width="17" customWidth="1"/>
    <col min="5" max="5" width="19.140625" customWidth="1"/>
    <col min="6" max="6" width="19.7109375" customWidth="1"/>
    <col min="7" max="7" width="14.140625" customWidth="1"/>
    <col min="8" max="8" width="14.28515625" customWidth="1"/>
    <col min="9" max="9" width="16.28515625" customWidth="1"/>
    <col min="10" max="10" width="20.140625" customWidth="1"/>
    <col min="11" max="11" width="17.140625" customWidth="1"/>
    <col min="12" max="12" width="19.42578125" customWidth="1"/>
    <col min="13" max="13" width="18.5703125" customWidth="1"/>
    <col min="14" max="14" width="20" customWidth="1"/>
    <col min="15" max="15" width="20.42578125" customWidth="1"/>
    <col min="16" max="16" width="22.140625" customWidth="1"/>
    <col min="17" max="17" width="25.5703125" customWidth="1"/>
    <col min="18" max="18" width="23.5703125" customWidth="1"/>
    <col min="19" max="19" width="20" customWidth="1"/>
    <col min="20" max="20" width="22.42578125" customWidth="1"/>
    <col min="21" max="21" width="10.7109375" customWidth="1"/>
    <col min="22" max="22" width="20.140625" bestFit="1" customWidth="1"/>
    <col min="23" max="23" width="21.7109375" customWidth="1"/>
    <col min="24" max="24" width="19.28515625" style="1" customWidth="1"/>
    <col min="25" max="25" width="17.5703125" style="1" customWidth="1"/>
    <col min="26" max="26" width="19.28515625" style="1" customWidth="1"/>
    <col min="27" max="27" width="17.28515625" customWidth="1"/>
    <col min="36" max="36" width="12.85546875" customWidth="1"/>
    <col min="37" max="37" width="15.85546875" customWidth="1"/>
    <col min="39" max="39" width="18.85546875" customWidth="1"/>
    <col min="41" max="41" width="25.5703125" customWidth="1"/>
    <col min="48" max="48" width="17.28515625" customWidth="1"/>
    <col min="53" max="53" width="20.7109375" bestFit="1" customWidth="1"/>
    <col min="54" max="54" width="20.28515625" bestFit="1" customWidth="1"/>
    <col min="55" max="55" width="16" bestFit="1" customWidth="1"/>
    <col min="56" max="56" width="16.5703125" bestFit="1" customWidth="1"/>
    <col min="57" max="57" width="16.28515625" bestFit="1" customWidth="1"/>
    <col min="58" max="58" width="16.85546875" bestFit="1" customWidth="1"/>
    <col min="69" max="69" width="21.28515625" customWidth="1"/>
    <col min="102" max="102" width="22.42578125" customWidth="1"/>
    <col min="145" max="145" width="20.85546875" bestFit="1" customWidth="1"/>
    <col min="146" max="146" width="22" bestFit="1" customWidth="1"/>
    <col min="148" max="148" width="23.85546875" bestFit="1" customWidth="1"/>
    <col min="149" max="149" width="22" bestFit="1" customWidth="1"/>
    <col min="150" max="150" width="18.5703125" bestFit="1" customWidth="1"/>
    <col min="151" max="151" width="23" bestFit="1" customWidth="1"/>
    <col min="210" max="210" width="18.140625" customWidth="1"/>
    <col min="286" max="286" width="12.85546875" customWidth="1"/>
    <col min="287" max="287" width="19.42578125" customWidth="1"/>
    <col min="290" max="290" width="17.140625" customWidth="1"/>
    <col min="292" max="292" width="18.5703125" customWidth="1"/>
    <col min="295" max="295" width="15.140625" customWidth="1"/>
    <col min="296" max="296" width="17.5703125" customWidth="1"/>
    <col min="306" max="306" width="17" customWidth="1"/>
  </cols>
  <sheetData>
    <row r="1" spans="1:5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t="s">
        <v>26</v>
      </c>
    </row>
    <row r="2" spans="1:543">
      <c r="A2">
        <v>8438</v>
      </c>
      <c r="B2">
        <v>7386</v>
      </c>
      <c r="C2">
        <v>3157669706</v>
      </c>
      <c r="D2" t="s">
        <v>27</v>
      </c>
      <c r="E2" t="s">
        <v>28</v>
      </c>
      <c r="F2" t="s">
        <v>29</v>
      </c>
      <c r="G2" s="2">
        <v>22154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2"/>
      <c r="N2" t="s">
        <v>35</v>
      </c>
      <c r="O2" s="2">
        <f>DATE(YEAR(G2) + P2, MONTH(G2), DAY(G2))</f>
        <v>45530</v>
      </c>
      <c r="P2">
        <v>64</v>
      </c>
      <c r="Q2" s="2">
        <v>36453</v>
      </c>
      <c r="R2" t="s">
        <v>36</v>
      </c>
      <c r="S2" t="s">
        <v>37</v>
      </c>
      <c r="T2" s="2">
        <v>45290</v>
      </c>
      <c r="U2" t="s">
        <v>38</v>
      </c>
      <c r="V2" t="s">
        <v>39</v>
      </c>
      <c r="W2">
        <v>13</v>
      </c>
      <c r="X2" s="1">
        <v>37700</v>
      </c>
      <c r="Y2" s="1">
        <v>6230</v>
      </c>
      <c r="Z2" s="1">
        <v>30160</v>
      </c>
      <c r="AA2" s="3">
        <v>517</v>
      </c>
      <c r="AK2" s="3"/>
      <c r="AM2" s="4"/>
      <c r="AO2" s="4"/>
      <c r="BA2" s="2"/>
      <c r="BB2" s="2"/>
      <c r="BD2" s="4"/>
      <c r="BF2" s="4"/>
      <c r="BM2" s="2"/>
      <c r="BO2" s="4"/>
      <c r="BQ2" s="4"/>
      <c r="CI2" s="2"/>
      <c r="CJ2" s="2"/>
      <c r="CN2" s="2"/>
      <c r="CQ2" s="2"/>
      <c r="CV2" s="4"/>
      <c r="CX2" s="4"/>
      <c r="DB2" s="2"/>
      <c r="DC2" s="2"/>
      <c r="DE2" s="2"/>
      <c r="DF2" s="2"/>
      <c r="DV2" s="2"/>
      <c r="DW2" s="2"/>
      <c r="EF2" s="4"/>
      <c r="EH2" s="4"/>
      <c r="ER2" s="2"/>
      <c r="ES2" s="2"/>
      <c r="EX2" s="4"/>
      <c r="EZ2" s="4"/>
      <c r="FQ2" s="4"/>
      <c r="FS2" s="4"/>
      <c r="GE2" s="2"/>
      <c r="GJ2" s="4"/>
      <c r="GL2" s="4"/>
      <c r="GR2" s="2"/>
      <c r="GT2" s="3"/>
      <c r="GV2" s="2"/>
      <c r="GW2" s="3"/>
      <c r="GX2" s="3"/>
      <c r="HB2" s="3"/>
      <c r="HP2" s="2"/>
      <c r="HS2" s="4"/>
      <c r="HU2" s="4"/>
      <c r="IF2" s="3"/>
      <c r="II2" s="4"/>
      <c r="IK2" s="4"/>
      <c r="IS2" s="2"/>
      <c r="IT2" s="2"/>
      <c r="IV2" s="2"/>
      <c r="IW2" s="4"/>
      <c r="JH2" s="2"/>
      <c r="JK2" s="4"/>
      <c r="JM2" s="4"/>
      <c r="JZ2" s="2"/>
      <c r="KD2" s="4"/>
      <c r="KF2" s="4"/>
      <c r="KJ2" s="4"/>
      <c r="KT2" s="2"/>
      <c r="KW2" s="2"/>
      <c r="LC2" s="2"/>
      <c r="LF2" s="2"/>
      <c r="LK2" s="2"/>
      <c r="LT2" s="4"/>
      <c r="LV2" s="4"/>
      <c r="LZ2" s="3"/>
      <c r="NB2" s="2"/>
      <c r="NC2" s="2"/>
      <c r="NH2" s="3"/>
      <c r="NJ2" s="2"/>
      <c r="NN2" s="2"/>
      <c r="NO2" s="2"/>
      <c r="NT2" s="4"/>
      <c r="OA2" s="2"/>
      <c r="OB2" s="2"/>
      <c r="ON2" s="2"/>
      <c r="OR2" s="4"/>
      <c r="OT2" s="4"/>
      <c r="PD2" s="2"/>
      <c r="PH2" s="2"/>
      <c r="PN2" s="3"/>
      <c r="PQ2" s="2"/>
      <c r="PX2" s="2"/>
      <c r="PZ2" s="2"/>
      <c r="QF2" s="4"/>
      <c r="QH2" s="4"/>
      <c r="QZ2" s="2"/>
      <c r="RA2" s="2"/>
      <c r="RN2" s="4"/>
      <c r="RO2" s="4"/>
      <c r="RR2" s="2"/>
      <c r="RT2" s="2"/>
      <c r="RU2" s="2"/>
      <c r="SA2" s="4"/>
      <c r="SC2" s="4"/>
      <c r="SN2" s="2"/>
      <c r="SQ2" s="4"/>
      <c r="SS2" s="4"/>
      <c r="TG2" s="2"/>
      <c r="TH2" s="2"/>
      <c r="TI2" s="2"/>
      <c r="TU2" s="4"/>
      <c r="TW2" s="4"/>
    </row>
    <row r="3" spans="1:543">
      <c r="A3">
        <v>3702</v>
      </c>
      <c r="B3">
        <v>479</v>
      </c>
      <c r="C3">
        <v>6222398910</v>
      </c>
      <c r="D3" t="s">
        <v>40</v>
      </c>
      <c r="E3" t="s">
        <v>41</v>
      </c>
      <c r="F3" t="s">
        <v>42</v>
      </c>
      <c r="G3" s="2">
        <v>40267</v>
      </c>
      <c r="H3" t="s">
        <v>43</v>
      </c>
      <c r="I3" t="s">
        <v>44</v>
      </c>
      <c r="J3" t="s">
        <v>32</v>
      </c>
      <c r="K3" t="s">
        <v>45</v>
      </c>
      <c r="L3" t="s">
        <v>34</v>
      </c>
      <c r="M3" s="2"/>
      <c r="N3" t="s">
        <v>46</v>
      </c>
      <c r="O3" s="2">
        <f>DATE(YEAR(G3) + P3, MONTH(G3), DAY(G3))</f>
        <v>64739</v>
      </c>
      <c r="P3">
        <v>67</v>
      </c>
      <c r="Q3" s="2"/>
      <c r="R3" t="s">
        <v>47</v>
      </c>
      <c r="S3" t="s">
        <v>48</v>
      </c>
      <c r="T3" s="2">
        <v>43451</v>
      </c>
      <c r="U3" t="s">
        <v>49</v>
      </c>
      <c r="V3" t="s">
        <v>38</v>
      </c>
      <c r="W3">
        <v>3</v>
      </c>
      <c r="X3" s="1">
        <v>48488</v>
      </c>
      <c r="Y3" s="1">
        <v>9697.6</v>
      </c>
      <c r="Z3" s="1">
        <v>38790.400000000001</v>
      </c>
      <c r="AA3" s="3">
        <v>114</v>
      </c>
      <c r="AK3" s="3"/>
      <c r="AM3" s="4"/>
      <c r="AO3" s="4"/>
      <c r="BA3" s="2"/>
      <c r="BD3" s="4"/>
      <c r="BF3" s="4"/>
      <c r="BM3" s="2"/>
      <c r="BO3" s="4"/>
      <c r="BQ3" s="4"/>
      <c r="CI3" s="2"/>
      <c r="CJ3" s="2"/>
      <c r="CN3" s="2"/>
      <c r="CQ3" s="2"/>
      <c r="CV3" s="4"/>
      <c r="CX3" s="4"/>
      <c r="DC3" s="2"/>
      <c r="DE3" s="2"/>
      <c r="DF3" s="2"/>
      <c r="DV3" s="2"/>
      <c r="DW3" s="2"/>
      <c r="EF3" s="4"/>
      <c r="EH3" s="4"/>
      <c r="ER3" s="2"/>
      <c r="EX3" s="4"/>
      <c r="EZ3" s="4"/>
      <c r="FQ3" s="4"/>
      <c r="FS3" s="4"/>
      <c r="GE3" s="2"/>
      <c r="GJ3" s="4"/>
      <c r="GR3" s="2"/>
      <c r="GT3" s="3"/>
      <c r="GV3" s="2"/>
      <c r="GX3" s="3"/>
      <c r="GY3" s="3"/>
      <c r="HB3" s="3"/>
      <c r="HP3" s="2"/>
      <c r="HS3" s="4"/>
      <c r="HU3" s="4"/>
      <c r="II3" s="4"/>
      <c r="IK3" s="4"/>
      <c r="IS3" s="2"/>
      <c r="IT3" s="2"/>
      <c r="IV3" s="2"/>
      <c r="IW3" s="4"/>
      <c r="IY3" s="4"/>
      <c r="JH3" s="2"/>
      <c r="JK3" s="4"/>
      <c r="JZ3" s="2"/>
      <c r="KI3" s="3"/>
      <c r="KJ3" s="4"/>
      <c r="KT3" s="2"/>
      <c r="KU3" s="2"/>
      <c r="KW3" s="2"/>
      <c r="LC3" s="2"/>
      <c r="LF3" s="2"/>
      <c r="LK3" s="2"/>
      <c r="LT3" s="4"/>
      <c r="LV3" s="4"/>
      <c r="NB3" s="2"/>
      <c r="NC3" s="2"/>
      <c r="NG3" s="5"/>
      <c r="NH3" s="3"/>
      <c r="NJ3" s="2"/>
      <c r="NN3" s="2"/>
      <c r="NO3" s="2"/>
      <c r="NT3" s="4"/>
      <c r="NV3" s="4"/>
      <c r="OA3" s="2"/>
      <c r="OB3" s="2"/>
      <c r="ON3" s="2"/>
      <c r="OR3" s="4"/>
      <c r="OT3" s="4"/>
      <c r="PD3" s="2"/>
      <c r="PH3" s="2"/>
      <c r="PI3" s="3"/>
      <c r="PQ3" s="2"/>
      <c r="PX3" s="2"/>
      <c r="PZ3" s="2"/>
      <c r="QF3" s="4"/>
      <c r="QH3" s="4"/>
      <c r="QX3" s="3"/>
      <c r="QZ3" s="2"/>
      <c r="RA3" s="2"/>
      <c r="RM3" s="3"/>
      <c r="RN3" s="4"/>
      <c r="RO3" s="4"/>
      <c r="RR3" s="2"/>
      <c r="RU3" s="2"/>
      <c r="SA3" s="4"/>
      <c r="SC3" s="4"/>
      <c r="SN3" s="2"/>
      <c r="SQ3" s="4"/>
      <c r="SS3" s="4"/>
      <c r="TG3" s="2"/>
      <c r="TH3" s="2"/>
      <c r="TI3" s="2"/>
      <c r="TU3" s="4"/>
      <c r="TW3" s="4"/>
    </row>
    <row r="4" spans="1:543">
      <c r="A4">
        <v>9664</v>
      </c>
      <c r="B4">
        <v>6488</v>
      </c>
      <c r="C4">
        <v>2380750556</v>
      </c>
      <c r="D4" t="s">
        <v>50</v>
      </c>
      <c r="E4" t="s">
        <v>51</v>
      </c>
      <c r="F4" t="s">
        <v>52</v>
      </c>
      <c r="G4" s="2">
        <v>24258</v>
      </c>
      <c r="H4" t="s">
        <v>30</v>
      </c>
      <c r="I4" t="s">
        <v>53</v>
      </c>
      <c r="J4" t="s">
        <v>32</v>
      </c>
      <c r="K4" t="s">
        <v>54</v>
      </c>
      <c r="L4" t="s">
        <v>34</v>
      </c>
      <c r="M4" s="2"/>
      <c r="N4" t="s">
        <v>55</v>
      </c>
      <c r="O4" s="2">
        <f>DATE(YEAR(G4) + P4, MONTH(G4), DAY(G4))</f>
        <v>46173</v>
      </c>
      <c r="P4">
        <v>60</v>
      </c>
      <c r="R4" t="s">
        <v>47</v>
      </c>
      <c r="S4" t="s">
        <v>48</v>
      </c>
      <c r="T4" s="2">
        <v>23526</v>
      </c>
      <c r="U4" t="s">
        <v>38</v>
      </c>
      <c r="V4" t="s">
        <v>56</v>
      </c>
      <c r="W4">
        <v>12</v>
      </c>
      <c r="X4" s="1">
        <v>9666</v>
      </c>
      <c r="Y4" s="1">
        <v>1933.2</v>
      </c>
      <c r="Z4" s="1">
        <v>7732.8</v>
      </c>
      <c r="AA4" s="3">
        <v>566</v>
      </c>
      <c r="AK4" s="3"/>
      <c r="AM4" s="4"/>
      <c r="AO4" s="4"/>
      <c r="BA4" s="2"/>
      <c r="BB4" s="2"/>
      <c r="BD4" s="4"/>
      <c r="BF4" s="4"/>
      <c r="BM4" s="2"/>
      <c r="BO4" s="4"/>
      <c r="BQ4" s="4"/>
      <c r="CH4" s="3"/>
      <c r="CI4" s="2"/>
      <c r="CJ4" s="2"/>
      <c r="CN4" s="2"/>
      <c r="CQ4" s="2"/>
      <c r="CV4" s="4"/>
      <c r="CX4" s="4"/>
      <c r="CZ4" s="3"/>
      <c r="DB4" s="2"/>
      <c r="DC4" s="2"/>
      <c r="DE4" s="2"/>
      <c r="DV4" s="2"/>
      <c r="DW4" s="2"/>
      <c r="EF4" s="4"/>
      <c r="EH4" s="4"/>
      <c r="ER4" s="2"/>
      <c r="ES4" s="2"/>
      <c r="EX4" s="4"/>
      <c r="EZ4" s="4"/>
      <c r="FQ4" s="4"/>
      <c r="FS4" s="4"/>
      <c r="GE4" s="2"/>
      <c r="GJ4" s="4"/>
      <c r="GL4" s="4"/>
      <c r="GR4" s="2"/>
      <c r="GT4" s="3"/>
      <c r="GU4" s="3"/>
      <c r="GV4" s="2"/>
      <c r="HB4" s="3"/>
      <c r="HP4" s="2"/>
      <c r="HS4" s="4"/>
      <c r="HU4" s="4"/>
      <c r="II4" s="4"/>
      <c r="IS4" s="2"/>
      <c r="IT4" s="2"/>
      <c r="IV4" s="2"/>
      <c r="IW4" s="4"/>
      <c r="IY4" s="4"/>
      <c r="JH4" s="2"/>
      <c r="JK4" s="4"/>
      <c r="JM4" s="4"/>
      <c r="JZ4" s="2"/>
      <c r="KD4" s="4"/>
      <c r="KF4" s="4"/>
      <c r="KU4" s="2"/>
      <c r="KW4" s="2"/>
      <c r="LC4" s="2"/>
      <c r="LF4" s="2"/>
      <c r="LK4" s="2"/>
      <c r="LT4" s="4"/>
      <c r="LV4" s="4"/>
      <c r="NB4" s="2"/>
      <c r="NJ4" s="2"/>
      <c r="NN4" s="2"/>
      <c r="NO4" s="2"/>
      <c r="NV4" s="4"/>
      <c r="OA4" s="2"/>
      <c r="OB4" s="2"/>
      <c r="ON4" s="2"/>
      <c r="OR4" s="4"/>
      <c r="OT4" s="4"/>
      <c r="PD4" s="2"/>
      <c r="PH4" s="2"/>
      <c r="PQ4" s="2"/>
      <c r="PX4" s="2"/>
      <c r="PZ4" s="2"/>
      <c r="QF4" s="4"/>
      <c r="QH4" s="4"/>
      <c r="QZ4" s="2"/>
      <c r="RA4" s="2"/>
      <c r="RN4" s="4"/>
      <c r="RO4" s="4"/>
      <c r="RR4" s="2"/>
      <c r="RU4" s="2"/>
      <c r="SA4" s="4"/>
      <c r="SC4" s="4"/>
      <c r="SN4" s="2"/>
      <c r="SQ4" s="4"/>
      <c r="SS4" s="4"/>
      <c r="TG4" s="2"/>
      <c r="TH4" s="2"/>
      <c r="TI4" s="2"/>
      <c r="TU4" s="4"/>
      <c r="TW4" s="4"/>
    </row>
    <row r="5" spans="1:543">
      <c r="A5">
        <v>7135</v>
      </c>
      <c r="B5">
        <v>5766</v>
      </c>
      <c r="C5">
        <v>8749594656</v>
      </c>
      <c r="D5" t="s">
        <v>57</v>
      </c>
      <c r="E5" t="s">
        <v>58</v>
      </c>
      <c r="F5" t="s">
        <v>59</v>
      </c>
      <c r="G5" s="2">
        <v>34675</v>
      </c>
      <c r="H5" t="s">
        <v>30</v>
      </c>
      <c r="I5" t="s">
        <v>60</v>
      </c>
      <c r="J5" t="s">
        <v>61</v>
      </c>
      <c r="K5" t="s">
        <v>62</v>
      </c>
      <c r="L5" t="s">
        <v>34</v>
      </c>
      <c r="M5" s="2"/>
      <c r="N5" t="s">
        <v>63</v>
      </c>
      <c r="O5" s="2">
        <f>DATE(YEAR(G5) + P5, MONTH(G5), DAY(G5))</f>
        <v>59877</v>
      </c>
      <c r="P5">
        <v>69</v>
      </c>
      <c r="Q5" s="2"/>
      <c r="R5" t="s">
        <v>47</v>
      </c>
      <c r="S5" t="s">
        <v>64</v>
      </c>
      <c r="T5" s="2">
        <v>43799</v>
      </c>
      <c r="U5" t="s">
        <v>65</v>
      </c>
      <c r="V5" t="s">
        <v>66</v>
      </c>
      <c r="W5">
        <v>20</v>
      </c>
      <c r="X5" s="1">
        <v>99337</v>
      </c>
      <c r="Y5" s="1">
        <v>19867.400000000001</v>
      </c>
      <c r="Z5" s="1">
        <v>79469.600000000006</v>
      </c>
      <c r="AA5" s="3">
        <v>256</v>
      </c>
      <c r="AK5" s="3"/>
      <c r="AM5" s="4"/>
      <c r="AO5" s="4"/>
      <c r="BA5" s="2"/>
      <c r="BB5" s="2"/>
      <c r="BD5" s="4"/>
      <c r="BF5" s="4"/>
      <c r="BM5" s="2"/>
      <c r="BO5" s="4"/>
      <c r="BQ5" s="4"/>
      <c r="CF5" s="3"/>
      <c r="CI5" s="2"/>
      <c r="CJ5" s="2"/>
      <c r="CL5" s="3"/>
      <c r="CN5" s="2"/>
      <c r="CQ5" s="2"/>
      <c r="CV5" s="4"/>
      <c r="CX5" s="4"/>
      <c r="CZ5" s="3"/>
      <c r="DB5" s="2"/>
      <c r="DC5" s="2"/>
      <c r="DE5" s="2"/>
      <c r="DF5" s="2"/>
      <c r="DV5" s="2"/>
      <c r="DW5" s="2"/>
      <c r="DY5" s="3"/>
      <c r="EF5" s="4"/>
      <c r="EH5" s="4"/>
      <c r="ER5" s="2"/>
      <c r="ES5" s="2"/>
      <c r="EX5" s="4"/>
      <c r="EZ5" s="4"/>
      <c r="FQ5" s="4"/>
      <c r="FS5" s="4"/>
      <c r="GE5" s="2"/>
      <c r="GJ5" s="4"/>
      <c r="GL5" s="4"/>
      <c r="GR5" s="2"/>
      <c r="GT5" s="3"/>
      <c r="GV5" s="2"/>
      <c r="GY5" s="3"/>
      <c r="HB5" s="3"/>
      <c r="HO5" s="3"/>
      <c r="HP5" s="2"/>
      <c r="HS5" s="4"/>
      <c r="IF5" s="3"/>
      <c r="II5" s="4"/>
      <c r="IK5" s="4"/>
      <c r="IS5" s="2"/>
      <c r="IT5" s="2"/>
      <c r="IV5" s="2"/>
      <c r="IW5" s="4"/>
      <c r="IY5" s="4"/>
      <c r="JK5" s="4"/>
      <c r="JM5" s="4"/>
      <c r="JZ5" s="2"/>
      <c r="KD5" s="4"/>
      <c r="KF5" s="4"/>
      <c r="KT5" s="2"/>
      <c r="KW5" s="2"/>
      <c r="LC5" s="2"/>
      <c r="LF5" s="2"/>
      <c r="LK5" s="2"/>
      <c r="LT5" s="4"/>
      <c r="LV5" s="4"/>
      <c r="NB5" s="2"/>
      <c r="NC5" s="2"/>
      <c r="NH5" s="3"/>
      <c r="NJ5" s="2"/>
      <c r="NN5" s="2"/>
      <c r="NO5" s="2"/>
      <c r="NT5" s="4"/>
      <c r="NV5" s="4"/>
      <c r="OA5" s="2"/>
      <c r="OB5" s="2"/>
      <c r="OO5" s="3"/>
      <c r="OR5" s="4"/>
      <c r="OT5" s="4"/>
      <c r="PD5" s="2"/>
      <c r="PH5" s="2"/>
      <c r="PI5" s="3"/>
      <c r="PQ5" s="2"/>
      <c r="PX5" s="2"/>
      <c r="PZ5" s="2"/>
      <c r="QF5" s="4"/>
      <c r="QH5" s="4"/>
      <c r="QZ5" s="2"/>
      <c r="RA5" s="2"/>
      <c r="RN5" s="4"/>
      <c r="RO5" s="4"/>
      <c r="RR5" s="2"/>
      <c r="RT5" s="2"/>
      <c r="RU5" s="2"/>
      <c r="SA5" s="4"/>
      <c r="SC5" s="4"/>
      <c r="SN5" s="2"/>
      <c r="SQ5" s="4"/>
      <c r="SS5" s="4"/>
      <c r="TG5" s="2"/>
      <c r="TH5" s="2"/>
      <c r="TI5" s="2"/>
      <c r="TU5" s="4"/>
      <c r="TW5" s="4"/>
    </row>
    <row r="6" spans="1:543">
      <c r="A6">
        <v>1231</v>
      </c>
      <c r="B6">
        <v>5467</v>
      </c>
      <c r="C6">
        <v>3749084927</v>
      </c>
      <c r="D6" t="s">
        <v>67</v>
      </c>
      <c r="E6" t="s">
        <v>68</v>
      </c>
      <c r="F6" t="s">
        <v>69</v>
      </c>
      <c r="G6" s="2">
        <v>33649</v>
      </c>
      <c r="H6" t="s">
        <v>30</v>
      </c>
      <c r="I6" t="s">
        <v>70</v>
      </c>
      <c r="J6" t="s">
        <v>32</v>
      </c>
      <c r="L6" t="s">
        <v>34</v>
      </c>
      <c r="M6" s="2"/>
      <c r="N6" t="s">
        <v>71</v>
      </c>
      <c r="O6" s="2">
        <f>DATE(YEAR(G6) + P6, MONTH(G6), DAY(G6))</f>
        <v>59217</v>
      </c>
      <c r="P6">
        <v>70</v>
      </c>
      <c r="Q6" s="2">
        <v>42585</v>
      </c>
      <c r="R6" t="s">
        <v>36</v>
      </c>
      <c r="S6" t="s">
        <v>37</v>
      </c>
      <c r="T6" s="2">
        <v>39033</v>
      </c>
      <c r="U6" t="s">
        <v>65</v>
      </c>
      <c r="V6" t="s">
        <v>66</v>
      </c>
      <c r="W6">
        <v>11</v>
      </c>
      <c r="X6" s="1">
        <v>89020</v>
      </c>
      <c r="Y6" s="1">
        <v>17804</v>
      </c>
      <c r="Z6" s="1">
        <v>71216</v>
      </c>
      <c r="AA6" s="3">
        <v>569</v>
      </c>
      <c r="AK6" s="3"/>
      <c r="AM6" s="4"/>
      <c r="BA6" s="2"/>
      <c r="BB6" s="2"/>
      <c r="BD6" s="4"/>
      <c r="BF6" s="4"/>
      <c r="BM6" s="2"/>
      <c r="BO6" s="4"/>
      <c r="BQ6" s="4"/>
      <c r="CI6" s="2"/>
      <c r="CN6" s="2"/>
      <c r="CP6" s="3"/>
      <c r="CQ6" s="2"/>
      <c r="CV6" s="4"/>
      <c r="CX6" s="4"/>
      <c r="DB6" s="2"/>
      <c r="DC6" s="2"/>
      <c r="DE6" s="2"/>
      <c r="DF6" s="2"/>
      <c r="DV6" s="2"/>
      <c r="DW6" s="2"/>
      <c r="EF6" s="4"/>
      <c r="EH6" s="4"/>
      <c r="ER6" s="2"/>
      <c r="ES6" s="2"/>
      <c r="EX6" s="4"/>
      <c r="FQ6" s="4"/>
      <c r="FS6" s="4"/>
      <c r="GE6" s="2"/>
      <c r="GJ6" s="4"/>
      <c r="GL6" s="4"/>
      <c r="GR6" s="2"/>
      <c r="GV6" s="2"/>
      <c r="GY6" s="3"/>
      <c r="HB6" s="3"/>
      <c r="HN6" s="3"/>
      <c r="HP6" s="2"/>
      <c r="HS6" s="4"/>
      <c r="HU6" s="4"/>
      <c r="II6" s="4"/>
      <c r="IK6" s="4"/>
      <c r="IT6" s="2"/>
      <c r="IV6" s="2"/>
      <c r="IW6" s="4"/>
      <c r="JH6" s="2"/>
      <c r="JK6" s="4"/>
      <c r="JM6" s="4"/>
      <c r="JZ6" s="2"/>
      <c r="KD6" s="4"/>
      <c r="KF6" s="4"/>
      <c r="KJ6" s="4"/>
      <c r="KT6" s="2"/>
      <c r="KU6" s="2"/>
      <c r="KW6" s="2"/>
      <c r="LC6" s="2"/>
      <c r="LF6" s="2"/>
      <c r="LK6" s="2"/>
      <c r="LT6" s="4"/>
      <c r="LV6" s="4"/>
      <c r="NB6" s="2"/>
      <c r="NC6" s="2"/>
      <c r="NG6" s="5"/>
      <c r="NJ6" s="2"/>
      <c r="NN6" s="2"/>
      <c r="NO6" s="2"/>
      <c r="NT6" s="4"/>
      <c r="NV6" s="4"/>
      <c r="OA6" s="2"/>
      <c r="OB6" s="2"/>
      <c r="ON6" s="2"/>
      <c r="OR6" s="4"/>
      <c r="OT6" s="4"/>
      <c r="PD6" s="2"/>
      <c r="PH6" s="2"/>
      <c r="PK6" s="3"/>
      <c r="PQ6" s="2"/>
      <c r="PX6" s="2"/>
      <c r="PZ6" s="2"/>
      <c r="QF6" s="4"/>
      <c r="QH6" s="4"/>
      <c r="QZ6" s="2"/>
      <c r="RA6" s="2"/>
      <c r="RN6" s="4"/>
      <c r="RO6" s="4"/>
      <c r="RR6" s="2"/>
      <c r="RT6" s="2"/>
      <c r="RU6" s="2"/>
      <c r="SA6" s="4"/>
      <c r="SC6" s="4"/>
      <c r="SN6" s="2"/>
      <c r="SQ6" s="4"/>
      <c r="SS6" s="4"/>
      <c r="TG6" s="2"/>
      <c r="TO6" s="3"/>
      <c r="TP6" s="3"/>
      <c r="TU6" s="4"/>
      <c r="TW6" s="4"/>
    </row>
    <row r="7" spans="1:543">
      <c r="A7">
        <v>9553</v>
      </c>
      <c r="B7">
        <v>9135</v>
      </c>
      <c r="C7">
        <v>1523905023</v>
      </c>
      <c r="D7" t="s">
        <v>72</v>
      </c>
      <c r="E7" t="s">
        <v>73</v>
      </c>
      <c r="F7" t="s">
        <v>74</v>
      </c>
      <c r="G7" s="2">
        <v>40121</v>
      </c>
      <c r="H7" t="s">
        <v>43</v>
      </c>
      <c r="I7" t="s">
        <v>75</v>
      </c>
      <c r="J7" t="s">
        <v>32</v>
      </c>
      <c r="K7" t="s">
        <v>76</v>
      </c>
      <c r="L7" t="s">
        <v>77</v>
      </c>
      <c r="M7" s="2"/>
      <c r="N7" t="s">
        <v>78</v>
      </c>
      <c r="O7" s="2">
        <f>DATE(YEAR(G7) + P7, MONTH(G7), DAY(G7))</f>
        <v>64593</v>
      </c>
      <c r="P7">
        <v>67</v>
      </c>
      <c r="Q7" s="2"/>
      <c r="R7" t="s">
        <v>47</v>
      </c>
      <c r="S7" t="s">
        <v>64</v>
      </c>
      <c r="T7" s="2">
        <v>42178</v>
      </c>
      <c r="U7" t="s">
        <v>38</v>
      </c>
      <c r="V7" t="s">
        <v>66</v>
      </c>
      <c r="W7">
        <v>5</v>
      </c>
      <c r="X7" s="1">
        <v>25089</v>
      </c>
      <c r="Y7" s="1">
        <v>5017.8</v>
      </c>
      <c r="Z7" s="1">
        <v>41295.31</v>
      </c>
      <c r="AA7" s="3">
        <v>126</v>
      </c>
      <c r="AB7" s="3"/>
      <c r="AK7" s="3"/>
      <c r="AM7" s="4"/>
      <c r="AO7" s="4"/>
      <c r="BA7" s="2"/>
      <c r="BD7" s="4"/>
      <c r="BF7" s="4"/>
      <c r="BM7" s="2"/>
      <c r="BO7" s="4"/>
      <c r="BQ7" s="4"/>
      <c r="CI7" s="2"/>
      <c r="CJ7" s="2"/>
      <c r="CN7" s="2"/>
      <c r="CQ7" s="2"/>
      <c r="CV7" s="4"/>
      <c r="CX7" s="4"/>
      <c r="DC7" s="2"/>
      <c r="DE7" s="2"/>
      <c r="DF7" s="2"/>
      <c r="DG7" s="3"/>
      <c r="DV7" s="2"/>
      <c r="DW7" s="2"/>
      <c r="DY7" s="3"/>
      <c r="EF7" s="4"/>
      <c r="EH7" s="4"/>
      <c r="ER7" s="2"/>
      <c r="ES7" s="2"/>
      <c r="EX7" s="4"/>
      <c r="EZ7" s="4"/>
      <c r="FQ7" s="4"/>
      <c r="GE7" s="2"/>
      <c r="GJ7" s="4"/>
      <c r="GL7" s="4"/>
      <c r="GR7" s="2"/>
      <c r="GU7" s="3"/>
      <c r="GV7" s="2"/>
      <c r="GW7" s="3"/>
      <c r="GX7" s="3"/>
      <c r="HB7" s="3"/>
      <c r="HP7" s="2"/>
      <c r="HS7" s="4"/>
      <c r="HU7" s="4"/>
      <c r="II7" s="4"/>
      <c r="IK7" s="4"/>
      <c r="IS7" s="2"/>
      <c r="IT7" s="2"/>
      <c r="IV7" s="2"/>
      <c r="IW7" s="4"/>
      <c r="IY7" s="4"/>
      <c r="JH7" s="2"/>
      <c r="JK7" s="4"/>
      <c r="JM7" s="4"/>
      <c r="JZ7" s="2"/>
      <c r="KD7" s="4"/>
      <c r="KF7" s="4"/>
      <c r="KJ7" s="4"/>
      <c r="KT7" s="2"/>
      <c r="KU7" s="2"/>
      <c r="KW7" s="2"/>
      <c r="LC7" s="2"/>
      <c r="LF7" s="2"/>
      <c r="LK7" s="2"/>
      <c r="LT7" s="4"/>
      <c r="LV7" s="4"/>
      <c r="MD7" s="3"/>
      <c r="NB7" s="2"/>
      <c r="NC7" s="2"/>
      <c r="NJ7" s="2"/>
      <c r="NN7" s="2"/>
      <c r="NO7" s="2"/>
      <c r="NT7" s="4"/>
      <c r="NV7" s="4"/>
      <c r="OA7" s="2"/>
      <c r="OB7" s="2"/>
      <c r="ON7" s="2"/>
      <c r="OR7" s="4"/>
      <c r="OT7" s="4"/>
      <c r="PD7" s="2"/>
      <c r="PH7" s="2"/>
      <c r="PQ7" s="2"/>
      <c r="PX7" s="2"/>
      <c r="PZ7" s="2"/>
      <c r="QF7" s="4"/>
      <c r="QH7" s="4"/>
      <c r="QZ7" s="2"/>
      <c r="RA7" s="2"/>
      <c r="RN7" s="4"/>
      <c r="RR7" s="2"/>
      <c r="RT7" s="2"/>
      <c r="RU7" s="2"/>
      <c r="SC7" s="4"/>
      <c r="SN7" s="2"/>
      <c r="SQ7" s="4"/>
      <c r="SS7" s="4"/>
      <c r="TG7" s="2"/>
      <c r="TH7" s="2"/>
      <c r="TI7" s="2"/>
      <c r="TP7" s="3"/>
      <c r="TU7" s="4"/>
      <c r="TW7" s="4"/>
    </row>
    <row r="8" spans="1:543">
      <c r="A8">
        <v>3545</v>
      </c>
      <c r="B8">
        <v>1951</v>
      </c>
      <c r="C8">
        <v>2877524120</v>
      </c>
      <c r="D8" t="s">
        <v>79</v>
      </c>
      <c r="E8" t="s">
        <v>80</v>
      </c>
      <c r="F8" t="s">
        <v>81</v>
      </c>
      <c r="G8" s="2">
        <v>40390</v>
      </c>
      <c r="H8" t="s">
        <v>43</v>
      </c>
      <c r="I8" t="s">
        <v>44</v>
      </c>
      <c r="J8" t="s">
        <v>32</v>
      </c>
      <c r="K8" t="s">
        <v>82</v>
      </c>
      <c r="L8" t="s">
        <v>77</v>
      </c>
      <c r="M8" s="2"/>
      <c r="N8" t="s">
        <v>83</v>
      </c>
      <c r="O8" s="2">
        <v>59142</v>
      </c>
      <c r="P8">
        <v>68</v>
      </c>
      <c r="Q8" s="2"/>
      <c r="R8" t="s">
        <v>47</v>
      </c>
      <c r="S8" t="s">
        <v>37</v>
      </c>
      <c r="T8" s="2">
        <v>34577</v>
      </c>
      <c r="U8" t="s">
        <v>65</v>
      </c>
      <c r="V8" t="s">
        <v>56</v>
      </c>
      <c r="W8">
        <v>8</v>
      </c>
      <c r="X8" s="1">
        <v>21217</v>
      </c>
      <c r="Y8" s="1">
        <v>4243.4000000000005</v>
      </c>
      <c r="Z8" s="1">
        <v>16973.599999999999</v>
      </c>
      <c r="AA8" s="3">
        <v>77</v>
      </c>
      <c r="AK8" s="3"/>
      <c r="AM8" s="4"/>
      <c r="AO8" s="4"/>
      <c r="BA8" s="2"/>
      <c r="BB8" s="2"/>
      <c r="BD8" s="4"/>
      <c r="BF8" s="4"/>
      <c r="BM8" s="2"/>
      <c r="BQ8" s="4"/>
      <c r="CF8" s="3"/>
      <c r="CI8" s="2"/>
      <c r="CJ8" s="2"/>
      <c r="CQ8" s="2"/>
      <c r="CV8" s="4"/>
      <c r="CX8" s="4"/>
      <c r="DC8" s="2"/>
      <c r="DE8" s="2"/>
      <c r="DF8" s="2"/>
      <c r="DV8" s="2"/>
      <c r="DW8" s="2"/>
      <c r="EF8" s="4"/>
      <c r="EH8" s="4"/>
      <c r="ES8" s="2"/>
      <c r="EX8" s="4"/>
      <c r="EZ8" s="4"/>
      <c r="FQ8" s="4"/>
      <c r="GE8" s="2"/>
      <c r="GJ8" s="4"/>
      <c r="GL8" s="4"/>
      <c r="GR8" s="2"/>
      <c r="GV8" s="2"/>
      <c r="GW8" s="3"/>
      <c r="GX8" s="3"/>
      <c r="GY8" s="3"/>
      <c r="HP8" s="2"/>
      <c r="HS8" s="4"/>
      <c r="HU8" s="4"/>
      <c r="IF8" s="3"/>
      <c r="II8" s="4"/>
      <c r="IK8" s="4"/>
      <c r="IS8" s="2"/>
      <c r="IT8" s="2"/>
      <c r="IV8" s="2"/>
      <c r="IW8" s="4"/>
      <c r="IY8" s="4"/>
      <c r="JH8" s="2"/>
      <c r="JK8" s="4"/>
      <c r="JM8" s="4"/>
      <c r="JZ8" s="2"/>
      <c r="KD8" s="4"/>
      <c r="KF8" s="4"/>
      <c r="KJ8" s="4"/>
      <c r="KT8" s="2"/>
      <c r="KU8" s="2"/>
      <c r="KW8" s="2"/>
      <c r="LC8" s="2"/>
      <c r="LF8" s="2"/>
      <c r="LK8" s="2"/>
      <c r="LT8" s="4"/>
      <c r="LV8" s="4"/>
      <c r="MF8" s="3"/>
      <c r="NB8" s="2"/>
      <c r="NC8" s="2"/>
      <c r="NJ8" s="2"/>
      <c r="NN8" s="2"/>
      <c r="NO8" s="2"/>
      <c r="NT8" s="4"/>
      <c r="NV8" s="4"/>
      <c r="OA8" s="2"/>
      <c r="OB8" s="2"/>
      <c r="ON8" s="2"/>
      <c r="OR8" s="4"/>
      <c r="OT8" s="4"/>
      <c r="PD8" s="2"/>
      <c r="PH8" s="2"/>
      <c r="PX8" s="2"/>
      <c r="PZ8" s="2"/>
      <c r="QF8" s="4"/>
      <c r="QH8" s="4"/>
      <c r="QZ8" s="2"/>
      <c r="RA8" s="2"/>
      <c r="RN8" s="4"/>
      <c r="RO8" s="4"/>
      <c r="RR8" s="2"/>
      <c r="RT8" s="2"/>
      <c r="RU8" s="2"/>
      <c r="SA8" s="4"/>
      <c r="SC8" s="4"/>
      <c r="SN8" s="2"/>
      <c r="SQ8" s="4"/>
      <c r="SS8" s="4"/>
      <c r="TH8" s="2"/>
      <c r="TI8" s="2"/>
      <c r="TU8" s="4"/>
    </row>
    <row r="9" spans="1:543">
      <c r="A9">
        <v>8062</v>
      </c>
      <c r="B9">
        <v>5473</v>
      </c>
      <c r="C9">
        <v>1337033331</v>
      </c>
      <c r="D9" t="s">
        <v>84</v>
      </c>
      <c r="E9" t="s">
        <v>85</v>
      </c>
      <c r="F9" t="s">
        <v>86</v>
      </c>
      <c r="G9" s="2">
        <v>32841</v>
      </c>
      <c r="H9" t="s">
        <v>43</v>
      </c>
      <c r="I9" t="s">
        <v>87</v>
      </c>
      <c r="J9" t="s">
        <v>61</v>
      </c>
      <c r="K9" t="s">
        <v>88</v>
      </c>
      <c r="L9" t="s">
        <v>77</v>
      </c>
      <c r="M9" s="2">
        <v>39934</v>
      </c>
      <c r="N9" t="s">
        <v>89</v>
      </c>
      <c r="O9" s="2">
        <f>DATE(YEAR(G9) + P9, MONTH(G9), DAY(G9))</f>
        <v>57678</v>
      </c>
      <c r="P9">
        <v>68</v>
      </c>
      <c r="Q9" s="2"/>
      <c r="R9" t="s">
        <v>47</v>
      </c>
      <c r="S9" t="s">
        <v>64</v>
      </c>
      <c r="T9" s="2">
        <v>45413</v>
      </c>
      <c r="U9" t="s">
        <v>38</v>
      </c>
      <c r="V9" t="s">
        <v>56</v>
      </c>
      <c r="W9">
        <v>24</v>
      </c>
      <c r="X9" s="1">
        <v>98961</v>
      </c>
      <c r="Y9" s="1">
        <v>19792.2</v>
      </c>
      <c r="Z9" s="1">
        <v>79168.800000000003</v>
      </c>
      <c r="AA9" s="3">
        <v>956</v>
      </c>
      <c r="AK9" s="3"/>
      <c r="AM9" s="4"/>
      <c r="AO9" s="4"/>
      <c r="BA9" s="2"/>
      <c r="BB9" s="2"/>
      <c r="BD9" s="4"/>
      <c r="BF9" s="4"/>
      <c r="BM9" s="2"/>
      <c r="BO9" s="4"/>
      <c r="BQ9" s="4"/>
      <c r="CI9" s="2"/>
      <c r="CJ9" s="2"/>
      <c r="CN9" s="2"/>
      <c r="CV9" s="4"/>
      <c r="CX9" s="4"/>
      <c r="DC9" s="2"/>
      <c r="DE9" s="2"/>
      <c r="DV9" s="2"/>
      <c r="DW9" s="2"/>
      <c r="DY9" s="3"/>
      <c r="EF9" s="4"/>
      <c r="EH9" s="4"/>
      <c r="ES9" s="2"/>
      <c r="EX9" s="4"/>
      <c r="EZ9" s="4"/>
      <c r="FQ9" s="4"/>
      <c r="FS9" s="4"/>
      <c r="GE9" s="2"/>
      <c r="GJ9" s="4"/>
      <c r="GL9" s="4"/>
      <c r="GR9" s="2"/>
      <c r="GS9" s="3"/>
      <c r="GV9" s="2"/>
      <c r="GX9" s="3"/>
      <c r="HB9" s="3"/>
      <c r="HP9" s="2"/>
      <c r="HS9" s="4"/>
      <c r="HU9" s="4"/>
      <c r="II9" s="4"/>
      <c r="IK9" s="4"/>
      <c r="IS9" s="2"/>
      <c r="IT9" s="2"/>
      <c r="IV9" s="2"/>
      <c r="IW9" s="4"/>
      <c r="IY9" s="4"/>
      <c r="JH9" s="2"/>
      <c r="JK9" s="4"/>
      <c r="JM9" s="4"/>
      <c r="JZ9" s="2"/>
      <c r="KD9" s="4"/>
      <c r="KF9" s="4"/>
      <c r="KJ9" s="4"/>
      <c r="KT9" s="2"/>
      <c r="KU9" s="2"/>
      <c r="KW9" s="2"/>
      <c r="LC9" s="2"/>
      <c r="LF9" s="2"/>
      <c r="LK9" s="2"/>
      <c r="LT9" s="4"/>
      <c r="LV9" s="4"/>
      <c r="NB9" s="2"/>
      <c r="NC9" s="2"/>
      <c r="NJ9" s="2"/>
      <c r="NN9" s="2"/>
      <c r="NT9" s="4"/>
      <c r="NV9" s="4"/>
      <c r="OA9" s="2"/>
      <c r="ON9" s="2"/>
      <c r="OR9" s="4"/>
      <c r="OT9" s="4"/>
      <c r="PD9" s="2"/>
      <c r="PH9" s="2"/>
      <c r="PN9" s="3"/>
      <c r="PQ9" s="2"/>
      <c r="PX9" s="2"/>
      <c r="PZ9" s="2"/>
      <c r="QF9" s="4"/>
      <c r="QH9" s="4"/>
      <c r="QZ9" s="2"/>
      <c r="RA9" s="2"/>
      <c r="RN9" s="4"/>
      <c r="RO9" s="4"/>
      <c r="RR9" s="2"/>
      <c r="RT9" s="2"/>
      <c r="RU9" s="2"/>
      <c r="SA9" s="4"/>
      <c r="SC9" s="4"/>
      <c r="SN9" s="2"/>
      <c r="SQ9" s="4"/>
      <c r="SS9" s="4"/>
      <c r="TG9" s="2"/>
      <c r="TH9" s="2"/>
      <c r="TI9" s="2"/>
      <c r="TU9" s="4"/>
      <c r="TW9" s="4"/>
    </row>
    <row r="10" spans="1:543">
      <c r="A10">
        <v>2400</v>
      </c>
      <c r="B10">
        <v>7257</v>
      </c>
      <c r="C10" s="3" t="s">
        <v>90</v>
      </c>
      <c r="D10" t="s">
        <v>91</v>
      </c>
      <c r="E10" t="s">
        <v>92</v>
      </c>
      <c r="F10" t="s">
        <v>93</v>
      </c>
      <c r="G10" s="2"/>
      <c r="H10" t="s">
        <v>30</v>
      </c>
      <c r="I10" t="s">
        <v>53</v>
      </c>
      <c r="J10" t="s">
        <v>32</v>
      </c>
      <c r="K10" t="s">
        <v>94</v>
      </c>
      <c r="L10" t="s">
        <v>95</v>
      </c>
      <c r="M10" s="2"/>
      <c r="N10" t="s">
        <v>96</v>
      </c>
      <c r="O10" s="2">
        <f>DATE(YEAR(G10) + P10, MONTH(G10), DAY(G10))</f>
        <v>25568</v>
      </c>
      <c r="P10">
        <v>70</v>
      </c>
      <c r="Q10" s="2"/>
      <c r="R10" t="s">
        <v>47</v>
      </c>
      <c r="S10" t="s">
        <v>48</v>
      </c>
      <c r="T10" s="2">
        <v>44236</v>
      </c>
      <c r="U10" t="s">
        <v>49</v>
      </c>
      <c r="V10" t="s">
        <v>38</v>
      </c>
      <c r="W10">
        <v>10</v>
      </c>
      <c r="X10" s="1">
        <v>74362</v>
      </c>
      <c r="Y10" s="1">
        <v>14872.400000000001</v>
      </c>
      <c r="Z10" s="1">
        <v>59489.599999999999</v>
      </c>
      <c r="AA10" s="3">
        <v>806</v>
      </c>
      <c r="AB10" s="3"/>
      <c r="AK10" s="3"/>
      <c r="AM10" s="4"/>
      <c r="AO10" s="4"/>
      <c r="BA10" s="2"/>
      <c r="BB10" s="2"/>
      <c r="BD10" s="4"/>
      <c r="BF10" s="4"/>
      <c r="BM10" s="2"/>
      <c r="BO10" s="4"/>
      <c r="BQ10" s="4"/>
      <c r="CI10" s="2"/>
      <c r="CJ10" s="2"/>
      <c r="CN10" s="2"/>
      <c r="CQ10" s="2"/>
      <c r="CV10" s="4"/>
      <c r="CX10" s="4"/>
      <c r="CZ10" s="3"/>
      <c r="DB10" s="2"/>
      <c r="DC10" s="2"/>
      <c r="DF10" s="2"/>
      <c r="DV10" s="2"/>
      <c r="DW10" s="2"/>
      <c r="EF10" s="4"/>
      <c r="EH10" s="4"/>
      <c r="ER10" s="2"/>
      <c r="ES10" s="2"/>
      <c r="EX10" s="4"/>
      <c r="EZ10" s="4"/>
      <c r="FQ10" s="4"/>
      <c r="FS10" s="4"/>
      <c r="GJ10" s="4"/>
      <c r="GL10" s="4"/>
      <c r="GR10" s="2"/>
      <c r="GT10" s="3"/>
      <c r="GU10" s="3"/>
      <c r="GV10" s="2"/>
      <c r="GY10" s="3"/>
      <c r="HB10" s="3"/>
      <c r="HP10" s="2"/>
      <c r="HS10" s="4"/>
      <c r="HU10" s="4"/>
      <c r="II10" s="4"/>
      <c r="IK10" s="4"/>
      <c r="IS10" s="2"/>
      <c r="IT10" s="2"/>
      <c r="IV10" s="2"/>
      <c r="IW10" s="4"/>
      <c r="IY10" s="4"/>
      <c r="JH10" s="2"/>
      <c r="JK10" s="4"/>
      <c r="JM10" s="4"/>
      <c r="JZ10" s="2"/>
      <c r="KD10" s="4"/>
      <c r="KF10" s="4"/>
      <c r="KJ10" s="4"/>
      <c r="KT10" s="2"/>
      <c r="KU10" s="2"/>
      <c r="KW10" s="2"/>
      <c r="LC10" s="2"/>
      <c r="LF10" s="2"/>
      <c r="LK10" s="2"/>
      <c r="LT10" s="4"/>
      <c r="LV10" s="4"/>
      <c r="ME10" s="3"/>
      <c r="MN10" s="5"/>
      <c r="NB10" s="2"/>
      <c r="NC10" s="2"/>
      <c r="NJ10" s="2"/>
      <c r="NO10" s="2"/>
      <c r="NT10" s="4"/>
      <c r="NV10" s="4"/>
      <c r="OA10" s="2"/>
      <c r="OB10" s="2"/>
      <c r="ON10" s="2"/>
      <c r="OR10" s="4"/>
      <c r="OT10" s="4"/>
      <c r="PD10" s="2"/>
      <c r="PH10" s="2"/>
      <c r="PQ10" s="2"/>
      <c r="PX10" s="2"/>
      <c r="PZ10" s="2"/>
      <c r="QF10" s="4"/>
      <c r="QH10" s="4"/>
      <c r="QZ10" s="2"/>
      <c r="RA10" s="2"/>
      <c r="RN10" s="4"/>
      <c r="RO10" s="4"/>
      <c r="RR10" s="2"/>
      <c r="RT10" s="2"/>
      <c r="RU10" s="2"/>
      <c r="SA10" s="4"/>
      <c r="SC10" s="4"/>
      <c r="SN10" s="2"/>
      <c r="SQ10" s="4"/>
      <c r="SS10" s="4"/>
      <c r="TH10" s="2"/>
      <c r="TI10" s="2"/>
      <c r="TW10" s="4"/>
    </row>
    <row r="11" spans="1:543">
      <c r="A11">
        <v>1936</v>
      </c>
      <c r="B11">
        <v>8551</v>
      </c>
      <c r="C11">
        <v>6874644557</v>
      </c>
      <c r="D11" t="s">
        <v>97</v>
      </c>
      <c r="E11" t="s">
        <v>98</v>
      </c>
      <c r="F11" t="s">
        <v>99</v>
      </c>
      <c r="G11" s="2">
        <v>32492</v>
      </c>
      <c r="H11" t="s">
        <v>30</v>
      </c>
      <c r="I11" t="s">
        <v>87</v>
      </c>
      <c r="J11" t="s">
        <v>32</v>
      </c>
      <c r="K11" t="s">
        <v>100</v>
      </c>
      <c r="L11" t="s">
        <v>34</v>
      </c>
      <c r="M11" s="2"/>
      <c r="N11" t="s">
        <v>101</v>
      </c>
      <c r="O11" s="2">
        <f>DATE(YEAR(G11) + P11, MONTH(G11), DAY(G11))</f>
        <v>55868</v>
      </c>
      <c r="P11">
        <v>64</v>
      </c>
      <c r="Q11" s="2">
        <v>30838</v>
      </c>
      <c r="R11" t="s">
        <v>36</v>
      </c>
      <c r="S11" t="s">
        <v>102</v>
      </c>
      <c r="T11" s="2">
        <v>43430</v>
      </c>
      <c r="U11" t="s">
        <v>103</v>
      </c>
      <c r="V11" t="s">
        <v>56</v>
      </c>
      <c r="W11">
        <v>24</v>
      </c>
      <c r="X11" s="1">
        <v>39297</v>
      </c>
      <c r="Y11" s="1">
        <v>7859.4000000000005</v>
      </c>
      <c r="Z11" s="1">
        <v>31437.599999999999</v>
      </c>
      <c r="AA11" s="3">
        <v>358</v>
      </c>
      <c r="AJ11" s="3"/>
      <c r="AK11" s="3"/>
      <c r="AM11" s="4"/>
      <c r="AO11" s="4"/>
      <c r="BA11" s="2"/>
      <c r="BB11" s="2"/>
      <c r="BD11" s="4"/>
      <c r="BF11" s="4"/>
      <c r="BM11" s="2"/>
      <c r="BO11" s="4"/>
      <c r="CI11" s="2"/>
      <c r="CJ11" s="2"/>
      <c r="CN11" s="2"/>
      <c r="CQ11" s="2"/>
      <c r="CV11" s="4"/>
      <c r="CX11" s="4"/>
      <c r="DB11" s="2"/>
      <c r="DC11" s="2"/>
      <c r="DE11" s="2"/>
      <c r="DF11" s="2"/>
      <c r="DV11" s="2"/>
      <c r="DW11" s="2"/>
      <c r="EF11" s="4"/>
      <c r="EH11" s="4"/>
      <c r="ER11" s="2"/>
      <c r="ES11" s="2"/>
      <c r="EX11" s="4"/>
      <c r="EZ11" s="4"/>
      <c r="FQ11" s="4"/>
      <c r="FS11" s="4"/>
      <c r="GE11" s="2"/>
      <c r="GJ11" s="4"/>
      <c r="GL11" s="4"/>
      <c r="GS11" s="3"/>
      <c r="GT11" s="3"/>
      <c r="GV11" s="2"/>
      <c r="GX11" s="3"/>
      <c r="GY11" s="3"/>
      <c r="HB11" s="3"/>
      <c r="HS11" s="4"/>
      <c r="HU11" s="4"/>
      <c r="II11" s="4"/>
      <c r="IK11" s="4"/>
      <c r="IS11" s="2"/>
      <c r="IT11" s="2"/>
      <c r="IV11" s="2"/>
      <c r="IW11" s="4"/>
      <c r="IY11" s="4"/>
      <c r="JH11" s="2"/>
      <c r="JK11" s="4"/>
      <c r="JM11" s="4"/>
      <c r="JZ11" s="2"/>
      <c r="KD11" s="4"/>
      <c r="KF11" s="4"/>
      <c r="KJ11" s="4"/>
      <c r="KT11" s="2"/>
      <c r="KU11" s="2"/>
      <c r="KW11" s="2"/>
      <c r="LC11" s="2"/>
      <c r="LF11" s="2"/>
      <c r="LK11" s="2"/>
      <c r="LT11" s="4"/>
      <c r="LV11" s="4"/>
      <c r="MA11" s="3"/>
      <c r="NB11" s="2"/>
      <c r="NC11" s="2"/>
      <c r="NJ11" s="2"/>
      <c r="NN11" s="2"/>
      <c r="NO11" s="2"/>
      <c r="NT11" s="4"/>
      <c r="NV11" s="4"/>
      <c r="OA11" s="2"/>
      <c r="OB11" s="2"/>
      <c r="ON11" s="2"/>
      <c r="OR11" s="4"/>
      <c r="PD11" s="2"/>
      <c r="PH11" s="2"/>
      <c r="PQ11" s="2"/>
      <c r="PX11" s="2"/>
      <c r="PZ11" s="2"/>
      <c r="QF11" s="4"/>
      <c r="QH11" s="4"/>
      <c r="QZ11" s="2"/>
      <c r="RA11" s="2"/>
      <c r="RR11" s="2"/>
      <c r="RT11" s="2"/>
      <c r="RU11" s="2"/>
      <c r="SA11" s="4"/>
      <c r="SC11" s="4"/>
      <c r="SN11" s="2"/>
      <c r="SQ11" s="4"/>
      <c r="SS11" s="4"/>
      <c r="TG11" s="2"/>
      <c r="TH11" s="2"/>
      <c r="TI11" s="2"/>
      <c r="TU11" s="4"/>
      <c r="TW11" s="4"/>
    </row>
    <row r="12" spans="1:543">
      <c r="A12">
        <v>9803</v>
      </c>
      <c r="B12">
        <v>2581</v>
      </c>
      <c r="C12">
        <v>6649500323</v>
      </c>
      <c r="D12" t="s">
        <v>104</v>
      </c>
      <c r="E12" t="s">
        <v>105</v>
      </c>
      <c r="F12" t="s">
        <v>106</v>
      </c>
      <c r="G12" s="2">
        <v>40527</v>
      </c>
      <c r="H12" t="s">
        <v>43</v>
      </c>
      <c r="I12" t="s">
        <v>31</v>
      </c>
      <c r="J12" t="s">
        <v>32</v>
      </c>
      <c r="K12" t="s">
        <v>107</v>
      </c>
      <c r="L12" t="s">
        <v>34</v>
      </c>
      <c r="M12" s="2"/>
      <c r="N12" t="s">
        <v>108</v>
      </c>
      <c r="O12" s="2">
        <f>DATE(YEAR(G12) + P12, MONTH(G12), DAY(G12))</f>
        <v>63538</v>
      </c>
      <c r="P12">
        <v>63</v>
      </c>
      <c r="Q12" s="2"/>
      <c r="R12" t="s">
        <v>47</v>
      </c>
      <c r="S12" t="s">
        <v>109</v>
      </c>
      <c r="T12" s="2">
        <v>41273</v>
      </c>
      <c r="U12" t="s">
        <v>38</v>
      </c>
      <c r="V12" t="s">
        <v>56</v>
      </c>
      <c r="W12">
        <v>9</v>
      </c>
      <c r="X12" s="1">
        <v>61135</v>
      </c>
      <c r="Y12" s="1">
        <v>12227</v>
      </c>
      <c r="Z12" s="1">
        <v>48908</v>
      </c>
      <c r="AA12" s="3">
        <v>443</v>
      </c>
      <c r="AK12" s="3"/>
      <c r="AM12" s="4"/>
      <c r="AO12" s="4"/>
      <c r="BA12" s="2"/>
      <c r="BB12" s="2"/>
      <c r="BD12" s="4"/>
      <c r="BF12" s="4"/>
      <c r="BM12" s="2"/>
      <c r="BQ12" s="4"/>
      <c r="CI12" s="2"/>
      <c r="CJ12" s="2"/>
      <c r="CL12" s="3"/>
      <c r="CN12" s="2"/>
      <c r="CV12" s="4"/>
      <c r="CX12" s="4"/>
      <c r="DB12" s="2"/>
      <c r="DC12" s="2"/>
      <c r="DD12" s="3"/>
      <c r="DE12" s="2"/>
      <c r="DF12" s="2"/>
      <c r="DV12" s="2"/>
      <c r="DW12" s="2"/>
      <c r="EF12" s="4"/>
      <c r="EH12" s="4"/>
      <c r="ER12" s="2"/>
      <c r="ES12" s="2"/>
      <c r="EX12" s="4"/>
      <c r="EZ12" s="4"/>
      <c r="FQ12" s="4"/>
      <c r="FS12" s="4"/>
      <c r="GE12" s="2"/>
      <c r="GG12" s="3"/>
      <c r="GJ12" s="4"/>
      <c r="GL12" s="4"/>
      <c r="GR12" s="2"/>
      <c r="GV12" s="2"/>
      <c r="GW12" s="3"/>
      <c r="GX12" s="3"/>
      <c r="HB12" s="3"/>
      <c r="HP12" s="2"/>
      <c r="HS12" s="4"/>
      <c r="HU12" s="4"/>
      <c r="II12" s="4"/>
      <c r="IK12" s="4"/>
      <c r="IS12" s="2"/>
      <c r="IT12" s="2"/>
      <c r="IV12" s="2"/>
      <c r="IW12" s="4"/>
      <c r="IY12" s="4"/>
      <c r="JH12" s="2"/>
      <c r="JK12" s="4"/>
      <c r="JM12" s="4"/>
      <c r="KD12" s="4"/>
      <c r="KF12" s="4"/>
      <c r="KJ12" s="4"/>
      <c r="KT12" s="2"/>
      <c r="KU12" s="2"/>
      <c r="KW12" s="2"/>
      <c r="LC12" s="2"/>
      <c r="LF12" s="2"/>
      <c r="LK12" s="2"/>
      <c r="LT12" s="4"/>
      <c r="LV12" s="4"/>
      <c r="LZ12" s="3"/>
      <c r="NB12" s="2"/>
      <c r="NC12" s="2"/>
      <c r="NG12" s="5"/>
      <c r="NJ12" s="2"/>
      <c r="NN12" s="2"/>
      <c r="NO12" s="2"/>
      <c r="NT12" s="4"/>
      <c r="NV12" s="4"/>
      <c r="OA12" s="2"/>
      <c r="OB12" s="2"/>
      <c r="ON12" s="2"/>
      <c r="OR12" s="4"/>
      <c r="PD12" s="2"/>
      <c r="PI12" s="3"/>
      <c r="PQ12" s="2"/>
      <c r="PX12" s="2"/>
      <c r="PZ12" s="2"/>
      <c r="QF12" s="4"/>
      <c r="QH12" s="4"/>
      <c r="QJ12" s="3"/>
      <c r="QZ12" s="2"/>
      <c r="RA12" s="2"/>
      <c r="RN12" s="4"/>
      <c r="RO12" s="4"/>
      <c r="RR12" s="2"/>
      <c r="RT12" s="2"/>
      <c r="RU12" s="2"/>
      <c r="SC12" s="4"/>
      <c r="SN12" s="2"/>
      <c r="SQ12" s="4"/>
      <c r="SS12" s="4"/>
      <c r="TG12" s="2"/>
      <c r="TH12" s="2"/>
      <c r="TI12" s="2"/>
      <c r="TU12" s="4"/>
      <c r="TW12" s="4"/>
    </row>
    <row r="13" spans="1:543">
      <c r="A13">
        <v>6807</v>
      </c>
      <c r="B13">
        <v>2451</v>
      </c>
      <c r="C13">
        <v>6086261591</v>
      </c>
      <c r="D13" t="s">
        <v>110</v>
      </c>
      <c r="E13" t="s">
        <v>111</v>
      </c>
      <c r="F13" t="s">
        <v>112</v>
      </c>
      <c r="G13" s="2">
        <v>34332</v>
      </c>
      <c r="H13" t="s">
        <v>30</v>
      </c>
      <c r="I13" t="s">
        <v>113</v>
      </c>
      <c r="J13" t="s">
        <v>32</v>
      </c>
      <c r="K13" t="s">
        <v>114</v>
      </c>
      <c r="L13" t="s">
        <v>77</v>
      </c>
      <c r="M13" s="2"/>
      <c r="N13" t="s">
        <v>115</v>
      </c>
      <c r="O13" s="2">
        <f>DATE(YEAR(G13) + P13, MONTH(G13), DAY(G13))</f>
        <v>58438</v>
      </c>
      <c r="P13">
        <v>66</v>
      </c>
      <c r="Q13" s="2"/>
      <c r="R13" t="s">
        <v>47</v>
      </c>
      <c r="S13" t="s">
        <v>109</v>
      </c>
      <c r="T13" s="2">
        <v>35132</v>
      </c>
      <c r="U13" t="s">
        <v>65</v>
      </c>
      <c r="V13" t="s">
        <v>66</v>
      </c>
      <c r="W13">
        <v>28</v>
      </c>
      <c r="X13" s="1">
        <v>83655</v>
      </c>
      <c r="Y13" s="1">
        <v>16731</v>
      </c>
      <c r="Z13" s="1">
        <v>66924</v>
      </c>
      <c r="AA13" s="3">
        <v>712</v>
      </c>
      <c r="AB13" s="3"/>
      <c r="AK13" s="3"/>
      <c r="AM13" s="4"/>
      <c r="AO13" s="4"/>
      <c r="BA13" s="2"/>
      <c r="BB13" s="2"/>
      <c r="BD13" s="4"/>
      <c r="BF13" s="4"/>
      <c r="BM13" s="2"/>
      <c r="BO13" s="4"/>
      <c r="BQ13" s="4"/>
      <c r="CI13" s="2"/>
      <c r="CJ13" s="2"/>
      <c r="CM13" s="3"/>
      <c r="CN13" s="2"/>
      <c r="CQ13" s="2"/>
      <c r="CV13" s="4"/>
      <c r="CZ13" s="3"/>
      <c r="DB13" s="2"/>
      <c r="DC13" s="2"/>
      <c r="DE13" s="2"/>
      <c r="DF13" s="2"/>
      <c r="DG13" s="3"/>
      <c r="DV13" s="2"/>
      <c r="DW13" s="2"/>
      <c r="DY13" s="3"/>
      <c r="EF13" s="4"/>
      <c r="ER13" s="2"/>
      <c r="ES13" s="2"/>
      <c r="EX13" s="4"/>
      <c r="EZ13" s="4"/>
      <c r="FQ13" s="4"/>
      <c r="FS13" s="4"/>
      <c r="GE13" s="2"/>
      <c r="GG13" s="3"/>
      <c r="GJ13" s="4"/>
      <c r="GL13" s="4"/>
      <c r="GR13" s="2"/>
      <c r="GS13" s="3"/>
      <c r="GV13" s="2"/>
      <c r="GW13" s="3"/>
      <c r="HB13" s="3"/>
      <c r="HN13" s="3"/>
      <c r="HP13" s="2"/>
      <c r="HS13" s="4"/>
      <c r="HU13" s="4"/>
      <c r="II13" s="4"/>
      <c r="IK13" s="4"/>
      <c r="IS13" s="2"/>
      <c r="IT13" s="2"/>
      <c r="IV13" s="2"/>
      <c r="IW13" s="4"/>
      <c r="IY13" s="4"/>
      <c r="JH13" s="2"/>
      <c r="JK13" s="4"/>
      <c r="JM13" s="4"/>
      <c r="JZ13" s="2"/>
      <c r="KD13" s="4"/>
      <c r="KF13" s="4"/>
      <c r="KJ13" s="4"/>
      <c r="KT13" s="2"/>
      <c r="KU13" s="2"/>
      <c r="LC13" s="2"/>
      <c r="LF13" s="2"/>
      <c r="LK13" s="2"/>
      <c r="LT13" s="4"/>
      <c r="LV13" s="4"/>
      <c r="NB13" s="2"/>
      <c r="NC13" s="2"/>
      <c r="NG13" s="5"/>
      <c r="NJ13" s="2"/>
      <c r="NN13" s="2"/>
      <c r="NO13" s="2"/>
      <c r="NT13" s="4"/>
      <c r="NV13" s="4"/>
      <c r="OA13" s="2"/>
      <c r="OB13" s="2"/>
      <c r="ON13" s="2"/>
      <c r="OR13" s="4"/>
      <c r="OT13" s="4"/>
      <c r="PD13" s="2"/>
      <c r="PH13" s="2"/>
      <c r="PQ13" s="2"/>
      <c r="PX13" s="2"/>
      <c r="PZ13" s="2"/>
      <c r="QF13" s="4"/>
      <c r="QH13" s="4"/>
      <c r="QX13" s="3"/>
      <c r="QZ13" s="2"/>
      <c r="RA13" s="2"/>
      <c r="RO13" s="4"/>
      <c r="RR13" s="2"/>
      <c r="RT13" s="2"/>
      <c r="RU13" s="2"/>
      <c r="SA13" s="4"/>
      <c r="SC13" s="4"/>
      <c r="SN13" s="2"/>
      <c r="SQ13" s="4"/>
      <c r="TG13" s="2"/>
      <c r="TI13" s="2"/>
      <c r="TU13" s="4"/>
      <c r="TW13" s="4"/>
    </row>
    <row r="14" spans="1:543">
      <c r="A14">
        <v>2980</v>
      </c>
      <c r="B14">
        <v>8243</v>
      </c>
      <c r="C14">
        <v>3392646743</v>
      </c>
      <c r="D14" t="s">
        <v>116</v>
      </c>
      <c r="E14" t="s">
        <v>117</v>
      </c>
      <c r="F14" t="s">
        <v>118</v>
      </c>
      <c r="G14" s="2">
        <v>39101</v>
      </c>
      <c r="H14" t="s">
        <v>43</v>
      </c>
      <c r="I14" t="s">
        <v>60</v>
      </c>
      <c r="J14" t="s">
        <v>32</v>
      </c>
      <c r="K14" t="s">
        <v>119</v>
      </c>
      <c r="L14" t="s">
        <v>95</v>
      </c>
      <c r="M14" s="2"/>
      <c r="N14" t="s">
        <v>120</v>
      </c>
      <c r="O14" s="2">
        <f>DATE(YEAR(G14) + P14, MONTH(G14), DAY(G14))</f>
        <v>64669</v>
      </c>
      <c r="P14">
        <v>70</v>
      </c>
      <c r="Q14" s="2"/>
      <c r="R14" t="s">
        <v>47</v>
      </c>
      <c r="S14" t="s">
        <v>48</v>
      </c>
      <c r="T14" s="2">
        <v>23504</v>
      </c>
      <c r="U14" t="s">
        <v>38</v>
      </c>
      <c r="V14" t="s">
        <v>56</v>
      </c>
      <c r="W14">
        <v>11</v>
      </c>
      <c r="X14" s="1">
        <v>69450</v>
      </c>
      <c r="Y14" s="1">
        <v>13890</v>
      </c>
      <c r="Z14" s="1">
        <v>55560</v>
      </c>
      <c r="AA14" s="3">
        <v>379</v>
      </c>
      <c r="AK14" s="3"/>
      <c r="AM14" s="4"/>
      <c r="AO14" s="4"/>
      <c r="BA14" s="2"/>
      <c r="BB14" s="2"/>
      <c r="BD14" s="4"/>
      <c r="BF14" s="4"/>
      <c r="BM14" s="2"/>
      <c r="BO14" s="4"/>
      <c r="BQ14" s="4"/>
      <c r="CF14" s="3"/>
      <c r="CI14" s="2"/>
      <c r="CJ14" s="2"/>
      <c r="CM14" s="3"/>
      <c r="CN14" s="2"/>
      <c r="CQ14" s="2"/>
      <c r="CV14" s="4"/>
      <c r="CX14" s="4"/>
      <c r="DB14" s="2"/>
      <c r="DC14" s="2"/>
      <c r="DE14" s="2"/>
      <c r="DF14" s="2"/>
      <c r="DV14" s="2"/>
      <c r="DW14" s="2"/>
      <c r="DY14" s="3"/>
      <c r="EF14" s="4"/>
      <c r="EH14" s="4"/>
      <c r="ER14" s="2"/>
      <c r="ES14" s="2"/>
      <c r="EV14" s="3"/>
      <c r="EX14" s="4"/>
      <c r="EZ14" s="4"/>
      <c r="FQ14" s="4"/>
      <c r="FS14" s="4"/>
      <c r="GE14" s="2"/>
      <c r="GJ14" s="4"/>
      <c r="GL14" s="4"/>
      <c r="GV14" s="2"/>
      <c r="GY14" s="3"/>
      <c r="HB14" s="3"/>
      <c r="HP14" s="2"/>
      <c r="HS14" s="4"/>
      <c r="HU14" s="4"/>
      <c r="II14" s="4"/>
      <c r="IK14" s="4"/>
      <c r="IS14" s="2"/>
      <c r="IT14" s="2"/>
      <c r="IV14" s="2"/>
      <c r="IW14" s="4"/>
      <c r="IY14" s="4"/>
      <c r="JH14" s="2"/>
      <c r="JK14" s="4"/>
      <c r="JM14" s="4"/>
      <c r="JZ14" s="2"/>
      <c r="KD14" s="4"/>
      <c r="KF14" s="4"/>
      <c r="KJ14" s="4"/>
      <c r="KT14" s="2"/>
      <c r="KU14" s="2"/>
      <c r="KW14" s="2"/>
      <c r="LC14" s="2"/>
      <c r="LF14" s="2"/>
      <c r="LK14" s="2"/>
      <c r="LT14" s="4"/>
      <c r="LV14" s="4"/>
      <c r="MJ14" s="3"/>
      <c r="NB14" s="2"/>
      <c r="NC14" s="2"/>
      <c r="NH14" s="3"/>
      <c r="NJ14" s="2"/>
      <c r="NN14" s="2"/>
      <c r="NO14" s="2"/>
      <c r="NT14" s="4"/>
      <c r="NV14" s="4"/>
      <c r="OA14" s="2"/>
      <c r="OB14" s="2"/>
      <c r="ON14" s="2"/>
      <c r="OR14" s="4"/>
      <c r="OT14" s="4"/>
      <c r="PD14" s="2"/>
      <c r="PH14" s="2"/>
      <c r="PP14" s="3"/>
      <c r="PQ14" s="2"/>
      <c r="PZ14" s="2"/>
      <c r="QF14" s="4"/>
      <c r="QZ14" s="2"/>
      <c r="RA14" s="2"/>
      <c r="RN14" s="4"/>
      <c r="RO14" s="4"/>
      <c r="RR14" s="2"/>
      <c r="RT14" s="2"/>
      <c r="RU14" s="2"/>
      <c r="SA14" s="4"/>
      <c r="SC14" s="4"/>
      <c r="SN14" s="2"/>
      <c r="SS14" s="4"/>
      <c r="TG14" s="2"/>
      <c r="TH14" s="2"/>
      <c r="TI14" s="2"/>
      <c r="TU14" s="4"/>
      <c r="TW14" s="4"/>
    </row>
    <row r="15" spans="1:543">
      <c r="A15">
        <v>3760</v>
      </c>
      <c r="B15">
        <v>6300</v>
      </c>
      <c r="C15">
        <v>8273991497</v>
      </c>
      <c r="D15" t="s">
        <v>121</v>
      </c>
      <c r="E15" t="s">
        <v>122</v>
      </c>
      <c r="F15" t="s">
        <v>123</v>
      </c>
      <c r="G15" s="2">
        <v>40277</v>
      </c>
      <c r="H15" t="s">
        <v>30</v>
      </c>
      <c r="I15" t="s">
        <v>124</v>
      </c>
      <c r="J15" t="s">
        <v>32</v>
      </c>
      <c r="K15" t="s">
        <v>125</v>
      </c>
      <c r="L15" t="s">
        <v>34</v>
      </c>
      <c r="M15" s="2"/>
      <c r="N15" t="s">
        <v>126</v>
      </c>
      <c r="O15" s="2">
        <f>DATE(YEAR(G15) + P15, MONTH(G15), DAY(G15))</f>
        <v>62923</v>
      </c>
      <c r="P15">
        <v>62</v>
      </c>
      <c r="Q15" s="2"/>
      <c r="R15" t="s">
        <v>47</v>
      </c>
      <c r="S15" t="s">
        <v>109</v>
      </c>
      <c r="T15" s="2">
        <v>35747</v>
      </c>
      <c r="U15" t="s">
        <v>49</v>
      </c>
      <c r="V15" t="s">
        <v>39</v>
      </c>
      <c r="W15">
        <v>28</v>
      </c>
      <c r="X15" s="1">
        <v>45055</v>
      </c>
      <c r="Y15" s="1">
        <v>9011</v>
      </c>
      <c r="Z15" s="1">
        <v>36044</v>
      </c>
      <c r="AA15" s="3">
        <v>581</v>
      </c>
      <c r="AK15" s="3"/>
      <c r="AM15" s="4"/>
      <c r="AO15" s="4"/>
      <c r="BA15" s="2"/>
      <c r="BB15" s="2"/>
      <c r="BD15" s="4"/>
      <c r="BF15" s="4"/>
      <c r="BM15" s="2"/>
      <c r="BO15" s="4"/>
      <c r="BQ15" s="4"/>
      <c r="CI15" s="2"/>
      <c r="CJ15" s="2"/>
      <c r="CN15" s="2"/>
      <c r="CQ15" s="2"/>
      <c r="CV15" s="4"/>
      <c r="CX15" s="4"/>
      <c r="DB15" s="2"/>
      <c r="DC15" s="2"/>
      <c r="DE15" s="2"/>
      <c r="DF15" s="2"/>
      <c r="DV15" s="2"/>
      <c r="DW15" s="2"/>
      <c r="EF15" s="4"/>
      <c r="EH15" s="4"/>
      <c r="ER15" s="2"/>
      <c r="ES15" s="2"/>
      <c r="EX15" s="4"/>
      <c r="EZ15" s="4"/>
      <c r="FQ15" s="4"/>
      <c r="FS15" s="4"/>
      <c r="GE15" s="2"/>
      <c r="GJ15" s="4"/>
      <c r="GL15" s="4"/>
      <c r="GR15" s="2"/>
      <c r="GV15" s="2"/>
      <c r="GX15" s="3"/>
      <c r="HB15" s="3"/>
      <c r="HP15" s="2"/>
      <c r="HS15" s="4"/>
      <c r="HU15" s="4"/>
      <c r="II15" s="4"/>
      <c r="IS15" s="2"/>
      <c r="IT15" s="2"/>
      <c r="IV15" s="2"/>
      <c r="IW15" s="4"/>
      <c r="JH15" s="2"/>
      <c r="JK15" s="4"/>
      <c r="JM15" s="4"/>
      <c r="JZ15" s="2"/>
      <c r="KD15" s="4"/>
      <c r="KF15" s="4"/>
      <c r="KJ15" s="4"/>
      <c r="KT15" s="2"/>
      <c r="LC15" s="2"/>
      <c r="LF15" s="2"/>
      <c r="LK15" s="2"/>
      <c r="LT15" s="4"/>
      <c r="NB15" s="2"/>
      <c r="NC15" s="2"/>
      <c r="NJ15" s="2"/>
      <c r="NN15" s="2"/>
      <c r="NO15" s="2"/>
      <c r="NT15" s="4"/>
      <c r="NV15" s="4"/>
      <c r="OA15" s="2"/>
      <c r="OB15" s="2"/>
      <c r="ON15" s="2"/>
      <c r="OR15" s="4"/>
      <c r="OT15" s="4"/>
      <c r="PD15" s="2"/>
      <c r="PH15" s="2"/>
      <c r="PQ15" s="2"/>
      <c r="PX15" s="2"/>
      <c r="PZ15" s="2"/>
      <c r="QF15" s="4"/>
      <c r="QH15" s="4"/>
      <c r="QZ15" s="2"/>
      <c r="RN15" s="4"/>
      <c r="RO15" s="4"/>
      <c r="RR15" s="2"/>
      <c r="RU15" s="2"/>
      <c r="SC15" s="4"/>
      <c r="SN15" s="2"/>
      <c r="SQ15" s="4"/>
      <c r="SS15" s="4"/>
      <c r="TH15" s="2"/>
      <c r="TI15" s="2"/>
      <c r="TU15" s="4"/>
      <c r="TW15" s="4"/>
    </row>
    <row r="16" spans="1:543">
      <c r="A16">
        <v>3743</v>
      </c>
      <c r="B16">
        <v>6544</v>
      </c>
      <c r="C16">
        <v>4134732831</v>
      </c>
      <c r="D16" t="s">
        <v>97</v>
      </c>
      <c r="E16" t="s">
        <v>128</v>
      </c>
      <c r="F16" t="s">
        <v>129</v>
      </c>
      <c r="G16" s="2">
        <v>39982</v>
      </c>
      <c r="H16" t="s">
        <v>43</v>
      </c>
      <c r="I16" t="s">
        <v>130</v>
      </c>
      <c r="J16" t="s">
        <v>32</v>
      </c>
      <c r="K16" t="s">
        <v>131</v>
      </c>
      <c r="L16" t="s">
        <v>95</v>
      </c>
      <c r="M16" s="2"/>
      <c r="N16" t="s">
        <v>132</v>
      </c>
      <c r="O16" s="2">
        <f>DATE(YEAR(G16) + P16, MONTH(G16), DAY(G16))</f>
        <v>62993</v>
      </c>
      <c r="P16">
        <v>63</v>
      </c>
      <c r="Q16" s="2"/>
      <c r="R16" t="s">
        <v>47</v>
      </c>
      <c r="S16" t="s">
        <v>102</v>
      </c>
      <c r="T16" s="2">
        <v>38177</v>
      </c>
      <c r="U16" t="s">
        <v>133</v>
      </c>
      <c r="V16" t="s">
        <v>39</v>
      </c>
      <c r="W16">
        <v>16</v>
      </c>
      <c r="X16" s="1">
        <v>85425</v>
      </c>
      <c r="Y16" s="1">
        <v>17085</v>
      </c>
      <c r="Z16" s="1">
        <v>68340</v>
      </c>
      <c r="AA16" s="3">
        <v>533</v>
      </c>
      <c r="AK16" s="3"/>
      <c r="AO16" s="4"/>
      <c r="BA16" s="2"/>
      <c r="BB16" s="2"/>
      <c r="BD16" s="4"/>
      <c r="BF16" s="4"/>
      <c r="BM16" s="2"/>
      <c r="BO16" s="4"/>
      <c r="BQ16" s="4"/>
      <c r="CI16" s="2"/>
      <c r="CJ16" s="2"/>
      <c r="CN16" s="2"/>
      <c r="CQ16" s="2"/>
      <c r="CV16" s="4"/>
      <c r="CX16" s="4"/>
      <c r="DB16" s="2"/>
      <c r="DC16" s="2"/>
      <c r="DE16" s="2"/>
      <c r="DF16" s="2"/>
      <c r="DV16" s="2"/>
      <c r="DW16" s="2"/>
      <c r="EC16" s="3"/>
      <c r="EF16" s="4"/>
      <c r="EH16" s="4"/>
      <c r="ER16" s="2"/>
      <c r="ES16" s="2"/>
      <c r="EV16" s="3"/>
      <c r="EX16" s="4"/>
      <c r="FQ16" s="4"/>
      <c r="FS16" s="4"/>
      <c r="GE16" s="2"/>
      <c r="GJ16" s="4"/>
      <c r="GL16" s="4"/>
      <c r="GR16" s="2"/>
      <c r="GT16" s="3"/>
      <c r="GV16" s="2"/>
      <c r="HB16" s="3"/>
      <c r="HP16" s="2"/>
      <c r="HS16" s="4"/>
      <c r="HU16" s="4"/>
      <c r="II16" s="4"/>
      <c r="IK16" s="4"/>
      <c r="IS16" s="2"/>
      <c r="IT16" s="2"/>
      <c r="IV16" s="2"/>
      <c r="IW16" s="4"/>
      <c r="IY16" s="4"/>
      <c r="JH16" s="2"/>
      <c r="JK16" s="4"/>
      <c r="JM16" s="4"/>
      <c r="JZ16" s="2"/>
      <c r="KD16" s="4"/>
      <c r="KF16" s="4"/>
      <c r="KJ16" s="4"/>
      <c r="KT16" s="2"/>
      <c r="KU16" s="2"/>
      <c r="KW16" s="2"/>
      <c r="LC16" s="2"/>
      <c r="LF16" s="2"/>
      <c r="LK16" s="2"/>
      <c r="LT16" s="4"/>
      <c r="LV16" s="4"/>
      <c r="MN16" s="5"/>
      <c r="NB16" s="2"/>
      <c r="NC16" s="2"/>
      <c r="NJ16" s="2"/>
      <c r="NO16" s="2"/>
      <c r="NT16" s="4"/>
      <c r="NV16" s="4"/>
      <c r="OA16" s="2"/>
      <c r="OB16" s="2"/>
      <c r="ON16" s="2"/>
      <c r="OR16" s="4"/>
      <c r="OT16" s="4"/>
      <c r="PD16" s="2"/>
      <c r="PH16" s="2"/>
      <c r="PQ16" s="2"/>
      <c r="PX16" s="2"/>
      <c r="PZ16" s="2"/>
      <c r="QF16" s="4"/>
      <c r="QH16" s="4"/>
      <c r="QX16" s="3"/>
      <c r="QZ16" s="2"/>
      <c r="RA16" s="2"/>
      <c r="RN16" s="4"/>
      <c r="RO16" s="4"/>
      <c r="RR16" s="2"/>
      <c r="RT16" s="2"/>
      <c r="RU16" s="2"/>
      <c r="SC16" s="4"/>
      <c r="SN16" s="2"/>
      <c r="SQ16" s="4"/>
      <c r="SS16" s="4"/>
      <c r="TG16" s="2"/>
      <c r="TH16" s="2"/>
      <c r="TI16" s="2"/>
      <c r="TU16" s="4"/>
      <c r="TW16" s="4"/>
    </row>
    <row r="17" spans="1:543">
      <c r="A17">
        <v>3651</v>
      </c>
      <c r="B17">
        <v>2692</v>
      </c>
      <c r="C17">
        <v>6560614289</v>
      </c>
      <c r="D17" t="s">
        <v>134</v>
      </c>
      <c r="E17" t="s">
        <v>135</v>
      </c>
      <c r="F17" t="s">
        <v>136</v>
      </c>
      <c r="G17" s="2">
        <v>22432</v>
      </c>
      <c r="H17" t="s">
        <v>43</v>
      </c>
      <c r="I17" t="s">
        <v>137</v>
      </c>
      <c r="J17" t="s">
        <v>61</v>
      </c>
      <c r="K17" t="s">
        <v>138</v>
      </c>
      <c r="L17" t="s">
        <v>34</v>
      </c>
      <c r="M17" s="2">
        <v>32845</v>
      </c>
      <c r="N17" t="s">
        <v>139</v>
      </c>
      <c r="O17" s="2">
        <f>DATE(YEAR(G17) + P17, MONTH(G17), DAY(G17))</f>
        <v>47634</v>
      </c>
      <c r="P17">
        <v>69</v>
      </c>
      <c r="Q17" s="2"/>
      <c r="R17" t="s">
        <v>47</v>
      </c>
      <c r="S17" t="s">
        <v>102</v>
      </c>
      <c r="T17" s="2">
        <v>44104</v>
      </c>
      <c r="U17" t="s">
        <v>49</v>
      </c>
      <c r="V17" t="s">
        <v>39</v>
      </c>
      <c r="W17">
        <v>25</v>
      </c>
      <c r="X17" s="1">
        <v>78623</v>
      </c>
      <c r="Y17" s="1">
        <v>15724.6</v>
      </c>
      <c r="Z17" s="1">
        <v>62898.400000000001</v>
      </c>
      <c r="AA17" s="3">
        <v>994</v>
      </c>
      <c r="AK17" s="3"/>
      <c r="AM17" s="4"/>
      <c r="BA17" s="2"/>
      <c r="BB17" s="2"/>
      <c r="BD17" s="4"/>
      <c r="BF17" s="4"/>
      <c r="BM17" s="2"/>
      <c r="BO17" s="4"/>
      <c r="BQ17" s="4"/>
      <c r="CI17" s="2"/>
      <c r="CJ17" s="2"/>
      <c r="CN17" s="2"/>
      <c r="CQ17" s="2"/>
      <c r="CV17" s="4"/>
      <c r="CX17" s="4"/>
      <c r="DB17" s="2"/>
      <c r="DC17" s="2"/>
      <c r="DE17" s="2"/>
      <c r="DF17" s="2"/>
      <c r="DV17" s="2"/>
      <c r="DW17" s="2"/>
      <c r="EF17" s="4"/>
      <c r="EH17" s="4"/>
      <c r="ER17" s="2"/>
      <c r="ES17" s="2"/>
      <c r="EX17" s="4"/>
      <c r="EZ17" s="4"/>
      <c r="FQ17" s="4"/>
      <c r="FS17" s="4"/>
      <c r="GD17" s="3"/>
      <c r="GE17" s="2"/>
      <c r="GL17" s="4"/>
      <c r="GR17" s="2"/>
      <c r="GT17" s="3"/>
      <c r="GV17" s="2"/>
      <c r="GW17" s="3"/>
      <c r="HB17" s="3"/>
      <c r="HP17" s="2"/>
      <c r="HS17" s="4"/>
      <c r="HU17" s="4"/>
      <c r="II17" s="4"/>
      <c r="IK17" s="4"/>
      <c r="IS17" s="2"/>
      <c r="IT17" s="2"/>
      <c r="IV17" s="2"/>
      <c r="IW17" s="4"/>
      <c r="IY17" s="4"/>
      <c r="JK17" s="4"/>
      <c r="JM17" s="4"/>
      <c r="JZ17" s="2"/>
      <c r="KA17" s="3"/>
      <c r="KD17" s="4"/>
      <c r="KF17" s="4"/>
      <c r="KJ17" s="4"/>
      <c r="KT17" s="2"/>
      <c r="KU17" s="2"/>
      <c r="KW17" s="2"/>
      <c r="LC17" s="2"/>
      <c r="LF17" s="2"/>
      <c r="LK17" s="2"/>
      <c r="LT17" s="4"/>
      <c r="NB17" s="2"/>
      <c r="NC17" s="2"/>
      <c r="NJ17" s="2"/>
      <c r="NN17" s="2"/>
      <c r="NO17" s="2"/>
      <c r="NT17" s="4"/>
      <c r="NV17" s="4"/>
      <c r="OA17" s="2"/>
      <c r="OB17" s="2"/>
      <c r="ON17" s="2"/>
      <c r="OR17" s="4"/>
      <c r="OT17" s="4"/>
      <c r="PD17" s="2"/>
      <c r="PH17" s="2"/>
      <c r="PZ17" s="2"/>
      <c r="QF17" s="4"/>
      <c r="QH17" s="4"/>
      <c r="QZ17" s="2"/>
      <c r="RA17" s="2"/>
      <c r="RN17" s="4"/>
      <c r="RO17" s="4"/>
      <c r="RR17" s="2"/>
      <c r="RT17" s="2"/>
      <c r="SA17" s="4"/>
      <c r="SC17" s="4"/>
      <c r="SN17" s="2"/>
      <c r="SQ17" s="4"/>
      <c r="SS17" s="4"/>
      <c r="TG17" s="2"/>
      <c r="TH17" s="2"/>
      <c r="TI17" s="2"/>
      <c r="TU17" s="4"/>
      <c r="TW17" s="4"/>
    </row>
    <row r="18" spans="1:543">
      <c r="A18">
        <v>1353</v>
      </c>
      <c r="B18">
        <v>3965</v>
      </c>
      <c r="C18" s="3" t="s">
        <v>140</v>
      </c>
      <c r="D18" t="s">
        <v>67</v>
      </c>
      <c r="E18" t="s">
        <v>141</v>
      </c>
      <c r="F18" t="s">
        <v>142</v>
      </c>
      <c r="G18" s="2">
        <v>40424</v>
      </c>
      <c r="H18" t="s">
        <v>30</v>
      </c>
      <c r="I18" t="s">
        <v>143</v>
      </c>
      <c r="J18" t="s">
        <v>61</v>
      </c>
      <c r="K18" t="s">
        <v>144</v>
      </c>
      <c r="L18" t="s">
        <v>34</v>
      </c>
      <c r="M18" s="2">
        <v>45832</v>
      </c>
      <c r="N18" t="s">
        <v>145</v>
      </c>
      <c r="O18" s="2">
        <f>DATE(YEAR(G18) + P18, MONTH(G18), DAY(G18))</f>
        <v>62704</v>
      </c>
      <c r="P18">
        <v>61</v>
      </c>
      <c r="Q18" s="2"/>
      <c r="R18" t="s">
        <v>47</v>
      </c>
      <c r="S18" t="s">
        <v>37</v>
      </c>
      <c r="T18" s="2">
        <v>39551</v>
      </c>
      <c r="U18" t="s">
        <v>133</v>
      </c>
      <c r="V18" t="s">
        <v>66</v>
      </c>
      <c r="W18">
        <v>2</v>
      </c>
      <c r="X18" s="1">
        <v>93942</v>
      </c>
      <c r="Y18" s="1">
        <v>18788.400000000001</v>
      </c>
      <c r="Z18" s="1">
        <v>75153.600000000006</v>
      </c>
      <c r="AA18" s="3">
        <v>820</v>
      </c>
      <c r="AK18" s="3"/>
      <c r="AM18" s="4"/>
      <c r="AO18" s="4"/>
      <c r="BA18" s="2"/>
      <c r="BB18" s="2"/>
      <c r="BD18" s="4"/>
      <c r="BM18" s="2"/>
      <c r="BO18" s="4"/>
      <c r="BQ18" s="4"/>
      <c r="CI18" s="2"/>
      <c r="CJ18" s="2"/>
      <c r="CN18" s="2"/>
      <c r="CQ18" s="2"/>
      <c r="CV18" s="4"/>
      <c r="CX18" s="4"/>
      <c r="DB18" s="2"/>
      <c r="DC18" s="2"/>
      <c r="DE18" s="2"/>
      <c r="DF18" s="2"/>
      <c r="DV18" s="2"/>
      <c r="DW18" s="2"/>
      <c r="EF18" s="4"/>
      <c r="EH18" s="4"/>
      <c r="ER18" s="2"/>
      <c r="ES18" s="2"/>
      <c r="EX18" s="4"/>
      <c r="EZ18" s="4"/>
      <c r="FS18" s="4"/>
      <c r="GE18" s="2"/>
      <c r="GJ18" s="4"/>
      <c r="GR18" s="2"/>
      <c r="GS18" s="3"/>
      <c r="GU18" s="3"/>
      <c r="GV18" s="2"/>
      <c r="GX18" s="3"/>
      <c r="GY18" s="3"/>
      <c r="HB18" s="3"/>
      <c r="HP18" s="2"/>
      <c r="HS18" s="4"/>
      <c r="HU18" s="4"/>
      <c r="II18" s="4"/>
      <c r="IK18" s="4"/>
      <c r="IS18" s="2"/>
      <c r="IT18" s="2"/>
      <c r="IV18" s="2"/>
      <c r="IW18" s="4"/>
      <c r="JH18" s="2"/>
      <c r="JK18" s="4"/>
      <c r="JZ18" s="2"/>
      <c r="KC18" s="3"/>
      <c r="KD18" s="4"/>
      <c r="KJ18" s="4"/>
      <c r="KT18" s="2"/>
      <c r="KU18" s="2"/>
      <c r="KW18" s="2"/>
      <c r="LF18" s="2"/>
      <c r="LK18" s="2"/>
      <c r="LT18" s="4"/>
      <c r="LV18" s="4"/>
      <c r="MC18" s="3"/>
      <c r="ML18" s="3"/>
      <c r="NB18" s="2"/>
      <c r="NC18" s="2"/>
      <c r="NJ18" s="2"/>
      <c r="NM18" s="3"/>
      <c r="NN18" s="2"/>
      <c r="NT18" s="4"/>
      <c r="OB18" s="2"/>
      <c r="ON18" s="2"/>
      <c r="OR18" s="4"/>
      <c r="OT18" s="4"/>
      <c r="PD18" s="2"/>
      <c r="PG18" s="3"/>
      <c r="PH18" s="2"/>
      <c r="PX18" s="2"/>
      <c r="PZ18" s="2"/>
      <c r="QF18" s="4"/>
      <c r="QH18" s="4"/>
      <c r="QZ18" s="2"/>
      <c r="RA18" s="2"/>
      <c r="RN18" s="4"/>
      <c r="RO18" s="4"/>
      <c r="RR18" s="2"/>
      <c r="RT18" s="2"/>
      <c r="RU18" s="2"/>
      <c r="SA18" s="4"/>
      <c r="SC18" s="4"/>
      <c r="SN18" s="2"/>
      <c r="SQ18" s="4"/>
      <c r="SS18" s="4"/>
      <c r="TG18" s="2"/>
      <c r="TH18" s="2"/>
      <c r="TI18" s="2"/>
      <c r="TO18" s="3"/>
      <c r="TU18" s="4"/>
      <c r="TW18" s="4"/>
    </row>
    <row r="19" spans="1:543">
      <c r="A19">
        <v>3690</v>
      </c>
      <c r="B19">
        <v>9797</v>
      </c>
      <c r="C19">
        <v>9029350526</v>
      </c>
      <c r="D19" t="s">
        <v>50</v>
      </c>
      <c r="E19" t="s">
        <v>146</v>
      </c>
      <c r="F19" t="s">
        <v>147</v>
      </c>
      <c r="G19" s="2">
        <v>32835</v>
      </c>
      <c r="H19" t="s">
        <v>43</v>
      </c>
      <c r="I19" t="s">
        <v>148</v>
      </c>
      <c r="J19" t="s">
        <v>61</v>
      </c>
      <c r="K19" t="s">
        <v>149</v>
      </c>
      <c r="L19" t="s">
        <v>95</v>
      </c>
      <c r="M19" s="2">
        <v>38655</v>
      </c>
      <c r="N19" t="s">
        <v>150</v>
      </c>
      <c r="O19" s="2">
        <f>DATE(YEAR(G19) + P19, MONTH(G19), DAY(G19))</f>
        <v>58037</v>
      </c>
      <c r="P19">
        <v>69</v>
      </c>
      <c r="Q19" s="2"/>
      <c r="R19" t="s">
        <v>47</v>
      </c>
      <c r="S19" t="s">
        <v>102</v>
      </c>
      <c r="T19" s="2">
        <v>39118</v>
      </c>
      <c r="U19" t="s">
        <v>49</v>
      </c>
      <c r="V19" t="s">
        <v>38</v>
      </c>
      <c r="W19">
        <v>18</v>
      </c>
      <c r="X19" s="1">
        <v>96601</v>
      </c>
      <c r="Y19" s="1">
        <v>19320.2</v>
      </c>
      <c r="Z19" s="1">
        <v>77280.800000000003</v>
      </c>
      <c r="AA19" s="3">
        <v>458</v>
      </c>
      <c r="AK19" s="3"/>
      <c r="AM19" s="4"/>
      <c r="AO19" s="4"/>
      <c r="BA19" s="2"/>
      <c r="BB19" s="2"/>
      <c r="BD19" s="4"/>
      <c r="BM19" s="2"/>
      <c r="BO19" s="4"/>
      <c r="BQ19" s="4"/>
      <c r="CJ19" s="2"/>
      <c r="CK19" s="3"/>
      <c r="CN19" s="2"/>
      <c r="CQ19" s="2"/>
      <c r="CV19" s="4"/>
      <c r="CX19" s="4"/>
      <c r="DB19" s="2"/>
      <c r="DC19" s="2"/>
      <c r="DE19" s="2"/>
      <c r="DF19" s="2"/>
      <c r="DV19" s="2"/>
      <c r="DW19" s="2"/>
      <c r="EC19" s="3"/>
      <c r="EH19" s="4"/>
      <c r="ER19" s="2"/>
      <c r="ES19" s="2"/>
      <c r="EU19" s="3"/>
      <c r="EZ19" s="4"/>
      <c r="FQ19" s="4"/>
      <c r="FS19" s="4"/>
      <c r="GE19" s="2"/>
      <c r="GJ19" s="4"/>
      <c r="GL19" s="4"/>
      <c r="GT19" s="3"/>
      <c r="GU19" s="3"/>
      <c r="GV19" s="2"/>
      <c r="GX19" s="3"/>
      <c r="GY19" s="3"/>
      <c r="HB19" s="3"/>
      <c r="HS19" s="4"/>
      <c r="HU19" s="4"/>
      <c r="II19" s="4"/>
      <c r="IK19" s="4"/>
      <c r="IS19" s="2"/>
      <c r="IT19" s="2"/>
      <c r="IV19" s="2"/>
      <c r="IW19" s="4"/>
      <c r="IY19" s="4"/>
      <c r="JH19" s="2"/>
      <c r="JK19" s="4"/>
      <c r="JM19" s="4"/>
      <c r="KD19" s="4"/>
      <c r="KF19" s="4"/>
      <c r="KJ19" s="4"/>
      <c r="KT19" s="2"/>
      <c r="KU19" s="2"/>
      <c r="KW19" s="2"/>
      <c r="LC19" s="2"/>
      <c r="LF19" s="2"/>
      <c r="LK19" s="2"/>
      <c r="LT19" s="4"/>
      <c r="LV19" s="4"/>
      <c r="ME19" s="3"/>
      <c r="NB19" s="2"/>
      <c r="NC19" s="2"/>
      <c r="NJ19" s="2"/>
      <c r="NN19" s="2"/>
      <c r="NO19" s="2"/>
      <c r="NT19" s="4"/>
      <c r="NV19" s="4"/>
      <c r="OA19" s="2"/>
      <c r="OB19" s="2"/>
      <c r="OR19" s="4"/>
      <c r="OT19" s="4"/>
      <c r="PD19" s="2"/>
      <c r="PH19" s="2"/>
      <c r="PQ19" s="2"/>
      <c r="PX19" s="2"/>
      <c r="PZ19" s="2"/>
      <c r="QF19" s="4"/>
      <c r="QH19" s="4"/>
      <c r="QZ19" s="2"/>
      <c r="RA19" s="2"/>
      <c r="RN19" s="4"/>
      <c r="RO19" s="4"/>
      <c r="RR19" s="2"/>
      <c r="RT19" s="2"/>
      <c r="RU19" s="2"/>
      <c r="SA19" s="4"/>
      <c r="SC19" s="4"/>
      <c r="SM19" s="3"/>
      <c r="SN19" s="2"/>
      <c r="SQ19" s="4"/>
      <c r="SS19" s="4"/>
      <c r="TG19" s="2"/>
      <c r="TH19" s="2"/>
      <c r="TI19" s="2"/>
      <c r="TU19" s="4"/>
      <c r="TW19" s="4"/>
    </row>
    <row r="20" spans="1:543">
      <c r="A20">
        <v>7955</v>
      </c>
      <c r="B20">
        <v>204</v>
      </c>
      <c r="C20">
        <v>6015044884</v>
      </c>
      <c r="D20" t="s">
        <v>110</v>
      </c>
      <c r="E20" t="s">
        <v>152</v>
      </c>
      <c r="F20" t="s">
        <v>153</v>
      </c>
      <c r="G20" s="2">
        <v>40444</v>
      </c>
      <c r="H20" t="s">
        <v>30</v>
      </c>
      <c r="I20" t="s">
        <v>44</v>
      </c>
      <c r="J20" t="s">
        <v>32</v>
      </c>
      <c r="K20" t="s">
        <v>154</v>
      </c>
      <c r="L20" t="s">
        <v>77</v>
      </c>
      <c r="M20" s="2"/>
      <c r="N20" t="s">
        <v>155</v>
      </c>
      <c r="O20" s="2">
        <f>DATE(YEAR(G20) + P20, MONTH(G20), DAY(G20))</f>
        <v>63820</v>
      </c>
      <c r="P20">
        <v>64</v>
      </c>
      <c r="Q20" s="2"/>
      <c r="R20" t="s">
        <v>47</v>
      </c>
      <c r="S20" t="s">
        <v>64</v>
      </c>
      <c r="T20" s="2">
        <v>43957</v>
      </c>
      <c r="U20" t="s">
        <v>65</v>
      </c>
      <c r="V20" t="s">
        <v>39</v>
      </c>
      <c r="W20">
        <v>8</v>
      </c>
      <c r="X20" s="1">
        <v>15850</v>
      </c>
      <c r="Y20" s="1">
        <v>3170</v>
      </c>
      <c r="Z20" s="1">
        <v>12680</v>
      </c>
      <c r="AA20" s="3">
        <v>312</v>
      </c>
      <c r="AK20" s="3"/>
      <c r="AM20" s="4"/>
      <c r="AO20" s="4"/>
      <c r="BA20" s="2"/>
      <c r="BB20" s="2"/>
      <c r="BD20" s="4"/>
      <c r="BF20" s="4"/>
      <c r="BM20" s="2"/>
      <c r="BO20" s="4"/>
      <c r="BQ20" s="4"/>
      <c r="CI20" s="2"/>
      <c r="CJ20" s="2"/>
      <c r="CN20" s="2"/>
      <c r="CQ20" s="2"/>
      <c r="CV20" s="4"/>
      <c r="DB20" s="2"/>
      <c r="DC20" s="2"/>
      <c r="DE20" s="2"/>
      <c r="DF20" s="2"/>
      <c r="DV20" s="2"/>
      <c r="DW20" s="2"/>
      <c r="EF20" s="4"/>
      <c r="EH20" s="4"/>
      <c r="ER20" s="2"/>
      <c r="ES20" s="2"/>
      <c r="EX20" s="4"/>
      <c r="EZ20" s="4"/>
      <c r="FQ20" s="4"/>
      <c r="FS20" s="4"/>
      <c r="GE20" s="2"/>
      <c r="GJ20" s="4"/>
      <c r="GL20" s="4"/>
      <c r="GR20" s="2"/>
      <c r="GU20" s="3"/>
      <c r="GV20" s="2"/>
      <c r="GY20" s="3"/>
      <c r="HP20" s="2"/>
      <c r="HS20" s="4"/>
      <c r="HU20" s="4"/>
      <c r="IF20" s="3"/>
      <c r="II20" s="4"/>
      <c r="IK20" s="4"/>
      <c r="IS20" s="2"/>
      <c r="IT20" s="2"/>
      <c r="IV20" s="2"/>
      <c r="IW20" s="4"/>
      <c r="IY20" s="4"/>
      <c r="JH20" s="2"/>
      <c r="JK20" s="4"/>
      <c r="JM20" s="4"/>
      <c r="JZ20" s="2"/>
      <c r="KD20" s="4"/>
      <c r="KF20" s="4"/>
      <c r="KJ20" s="4"/>
      <c r="KT20" s="2"/>
      <c r="KU20" s="2"/>
      <c r="KW20" s="2"/>
      <c r="LC20" s="2"/>
      <c r="LF20" s="2"/>
      <c r="LK20" s="2"/>
      <c r="LM20" s="3"/>
      <c r="LT20" s="4"/>
      <c r="LV20" s="4"/>
      <c r="NB20" s="2"/>
      <c r="NH20" s="3"/>
      <c r="NJ20" s="2"/>
      <c r="NN20" s="2"/>
      <c r="NO20" s="2"/>
      <c r="NT20" s="4"/>
      <c r="NV20" s="4"/>
      <c r="OA20" s="2"/>
      <c r="OB20" s="2"/>
      <c r="ON20" s="2"/>
      <c r="OR20" s="4"/>
      <c r="OT20" s="4"/>
      <c r="PD20" s="2"/>
      <c r="PH20" s="2"/>
      <c r="PQ20" s="2"/>
      <c r="PX20" s="2"/>
      <c r="PZ20" s="2"/>
      <c r="QF20" s="4"/>
      <c r="QH20" s="4"/>
      <c r="QZ20" s="2"/>
      <c r="RA20" s="2"/>
      <c r="RN20" s="4"/>
      <c r="RO20" s="4"/>
      <c r="RR20" s="2"/>
      <c r="RT20" s="2"/>
      <c r="RU20" s="2"/>
      <c r="SA20" s="4"/>
      <c r="SC20" s="4"/>
      <c r="SN20" s="2"/>
      <c r="SQ20" s="4"/>
      <c r="SS20" s="4"/>
      <c r="TG20" s="2"/>
      <c r="TH20" s="2"/>
      <c r="TI20" s="2"/>
      <c r="TU20" s="4"/>
      <c r="TW20" s="4"/>
    </row>
    <row r="21" spans="1:543">
      <c r="A21">
        <v>6033</v>
      </c>
      <c r="B21">
        <v>1442</v>
      </c>
      <c r="C21">
        <v>8393397444</v>
      </c>
      <c r="D21" t="s">
        <v>156</v>
      </c>
      <c r="E21" t="s">
        <v>157</v>
      </c>
      <c r="F21" t="s">
        <v>158</v>
      </c>
      <c r="G21" s="2">
        <v>40398</v>
      </c>
      <c r="H21" t="s">
        <v>30</v>
      </c>
      <c r="I21" t="s">
        <v>148</v>
      </c>
      <c r="J21" t="s">
        <v>32</v>
      </c>
      <c r="K21" t="s">
        <v>159</v>
      </c>
      <c r="L21" t="s">
        <v>77</v>
      </c>
      <c r="M21" s="2"/>
      <c r="N21" t="s">
        <v>160</v>
      </c>
      <c r="O21" s="2">
        <f>DATE(YEAR(G21) + P21, MONTH(G21), DAY(G21))</f>
        <v>62313</v>
      </c>
      <c r="P21">
        <v>60</v>
      </c>
      <c r="Q21" s="2"/>
      <c r="R21" t="s">
        <v>47</v>
      </c>
      <c r="S21" t="s">
        <v>109</v>
      </c>
      <c r="T21" s="2">
        <v>26990</v>
      </c>
      <c r="U21" t="s">
        <v>38</v>
      </c>
      <c r="V21" t="s">
        <v>38</v>
      </c>
      <c r="W21">
        <v>4</v>
      </c>
      <c r="X21" s="1">
        <v>83448</v>
      </c>
      <c r="Y21" s="1">
        <v>16689.600000000002</v>
      </c>
      <c r="Z21" s="1">
        <v>66758.399999999994</v>
      </c>
      <c r="AA21" s="3">
        <v>55</v>
      </c>
      <c r="AB21" s="3"/>
      <c r="AK21" s="3"/>
      <c r="AM21" s="4"/>
      <c r="AO21" s="4"/>
      <c r="BA21" s="2"/>
      <c r="BB21" s="2"/>
      <c r="BD21" s="4"/>
      <c r="BF21" s="4"/>
      <c r="BM21" s="2"/>
      <c r="BO21" s="4"/>
      <c r="CG21" s="3"/>
      <c r="CI21" s="2"/>
      <c r="CJ21" s="2"/>
      <c r="CN21" s="2"/>
      <c r="CQ21" s="2"/>
      <c r="CV21" s="4"/>
      <c r="CX21" s="4"/>
      <c r="DB21" s="2"/>
      <c r="DC21" s="2"/>
      <c r="DE21" s="2"/>
      <c r="DF21" s="2"/>
      <c r="DV21" s="2"/>
      <c r="EF21" s="4"/>
      <c r="EH21" s="4"/>
      <c r="ER21" s="2"/>
      <c r="EX21" s="4"/>
      <c r="EZ21" s="4"/>
      <c r="FQ21" s="4"/>
      <c r="FS21" s="4"/>
      <c r="GJ21" s="4"/>
      <c r="GL21" s="4"/>
      <c r="GR21" s="2"/>
      <c r="GU21" s="3"/>
      <c r="GW21" s="3"/>
      <c r="GX21" s="3"/>
      <c r="GY21" s="3"/>
      <c r="HB21" s="3"/>
      <c r="HP21" s="2"/>
      <c r="HS21" s="4"/>
      <c r="HU21" s="4"/>
      <c r="II21" s="4"/>
      <c r="IK21" s="4"/>
      <c r="IS21" s="2"/>
      <c r="IT21" s="2"/>
      <c r="IV21" s="2"/>
      <c r="IW21" s="4"/>
      <c r="IY21" s="4"/>
      <c r="JH21" s="2"/>
      <c r="JK21" s="4"/>
      <c r="JM21" s="4"/>
      <c r="KD21" s="4"/>
      <c r="KF21" s="4"/>
      <c r="KJ21" s="4"/>
      <c r="KT21" s="2"/>
      <c r="KU21" s="2"/>
      <c r="KW21" s="2"/>
      <c r="LC21" s="2"/>
      <c r="LF21" s="2"/>
      <c r="LK21" s="2"/>
      <c r="LT21" s="4"/>
      <c r="LV21" s="4"/>
      <c r="NB21" s="2"/>
      <c r="NC21" s="2"/>
      <c r="NG21" s="5"/>
      <c r="NJ21" s="2"/>
      <c r="NO21" s="2"/>
      <c r="NT21" s="4"/>
      <c r="NV21" s="4"/>
      <c r="OA21" s="2"/>
      <c r="OB21" s="2"/>
      <c r="OR21" s="4"/>
      <c r="OT21" s="4"/>
      <c r="PH21" s="2"/>
      <c r="PQ21" s="2"/>
      <c r="PX21" s="2"/>
      <c r="PZ21" s="2"/>
      <c r="QF21" s="4"/>
      <c r="QH21" s="4"/>
      <c r="QZ21" s="2"/>
      <c r="RA21" s="2"/>
      <c r="RN21" s="4"/>
      <c r="RR21" s="2"/>
      <c r="RT21" s="2"/>
      <c r="RU21" s="2"/>
      <c r="SA21" s="4"/>
      <c r="SC21" s="4"/>
      <c r="SN21" s="2"/>
      <c r="SQ21" s="4"/>
      <c r="SS21" s="4"/>
      <c r="TG21" s="2"/>
      <c r="TH21" s="2"/>
      <c r="TU21" s="4"/>
      <c r="TW21" s="4"/>
    </row>
    <row r="22" spans="1:543">
      <c r="A22">
        <v>8138</v>
      </c>
      <c r="B22">
        <v>4809</v>
      </c>
      <c r="C22">
        <v>5415859917</v>
      </c>
      <c r="D22" t="s">
        <v>161</v>
      </c>
      <c r="E22" t="s">
        <v>162</v>
      </c>
      <c r="F22" t="s">
        <v>163</v>
      </c>
      <c r="G22" s="2">
        <v>37301</v>
      </c>
      <c r="H22" t="s">
        <v>30</v>
      </c>
      <c r="I22" t="s">
        <v>87</v>
      </c>
      <c r="J22" t="s">
        <v>32</v>
      </c>
      <c r="K22" t="s">
        <v>164</v>
      </c>
      <c r="L22" t="s">
        <v>95</v>
      </c>
      <c r="M22" s="2"/>
      <c r="N22" t="s">
        <v>165</v>
      </c>
      <c r="O22" s="2">
        <f>DATE(YEAR(G22) + P22, MONTH(G22), DAY(G22))</f>
        <v>59216</v>
      </c>
      <c r="P22">
        <v>60</v>
      </c>
      <c r="Q22" s="2"/>
      <c r="R22" t="s">
        <v>47</v>
      </c>
      <c r="S22" t="s">
        <v>102</v>
      </c>
      <c r="T22" s="2">
        <v>42855</v>
      </c>
      <c r="U22" t="s">
        <v>103</v>
      </c>
      <c r="V22" t="s">
        <v>66</v>
      </c>
      <c r="W22">
        <v>3</v>
      </c>
      <c r="X22" s="1">
        <v>4049</v>
      </c>
      <c r="Y22" s="1">
        <v>809.80000000000007</v>
      </c>
      <c r="Z22" s="1">
        <v>3239.2</v>
      </c>
      <c r="AA22" s="3">
        <v>76</v>
      </c>
      <c r="AJ22" s="3"/>
      <c r="AK22" s="3"/>
      <c r="AM22" s="4"/>
      <c r="AO22" s="4"/>
      <c r="BA22" s="2"/>
      <c r="BB22" s="2"/>
      <c r="BD22" s="4"/>
      <c r="BF22" s="4"/>
      <c r="BM22" s="2"/>
      <c r="BO22" s="4"/>
      <c r="BQ22" s="4"/>
      <c r="CJ22" s="2"/>
      <c r="CN22" s="2"/>
      <c r="CP22" s="3"/>
      <c r="CQ22" s="2"/>
      <c r="CV22" s="4"/>
      <c r="CX22" s="4"/>
      <c r="DB22" s="2"/>
      <c r="DC22" s="2"/>
      <c r="DE22" s="2"/>
      <c r="DF22" s="2"/>
      <c r="DV22" s="2"/>
      <c r="EF22" s="4"/>
      <c r="EH22" s="4"/>
      <c r="ER22" s="2"/>
      <c r="ES22" s="2"/>
      <c r="EZ22" s="4"/>
      <c r="FS22" s="4"/>
      <c r="GE22" s="2"/>
      <c r="GL22" s="4"/>
      <c r="GR22" s="2"/>
      <c r="GS22" s="3"/>
      <c r="GT22" s="3"/>
      <c r="GV22" s="2"/>
      <c r="GW22" s="3"/>
      <c r="HB22" s="3"/>
      <c r="HP22" s="2"/>
      <c r="HS22" s="4"/>
      <c r="II22" s="4"/>
      <c r="IK22" s="4"/>
      <c r="IS22" s="2"/>
      <c r="IT22" s="2"/>
      <c r="IV22" s="2"/>
      <c r="IW22" s="4"/>
      <c r="IY22" s="4"/>
      <c r="JH22" s="2"/>
      <c r="JK22" s="4"/>
      <c r="JM22" s="4"/>
      <c r="JZ22" s="2"/>
      <c r="KD22" s="4"/>
      <c r="KF22" s="4"/>
      <c r="KI22" s="3"/>
      <c r="KJ22" s="4"/>
      <c r="KT22" s="2"/>
      <c r="KU22" s="2"/>
      <c r="KW22" s="2"/>
      <c r="LC22" s="2"/>
      <c r="LF22" s="2"/>
      <c r="LK22" s="2"/>
      <c r="LT22" s="4"/>
      <c r="LV22" s="4"/>
      <c r="NB22" s="2"/>
      <c r="NC22" s="2"/>
      <c r="NJ22" s="2"/>
      <c r="NM22" s="3"/>
      <c r="NN22" s="2"/>
      <c r="NO22" s="2"/>
      <c r="NT22" s="4"/>
      <c r="NV22" s="4"/>
      <c r="OA22" s="2"/>
      <c r="OB22" s="2"/>
      <c r="ON22" s="2"/>
      <c r="OR22" s="4"/>
      <c r="OT22" s="4"/>
      <c r="PD22" s="2"/>
      <c r="PH22" s="2"/>
      <c r="PQ22" s="2"/>
      <c r="PX22" s="2"/>
      <c r="PZ22" s="2"/>
      <c r="QF22" s="4"/>
      <c r="QH22" s="4"/>
      <c r="QZ22" s="2"/>
      <c r="RA22" s="2"/>
      <c r="RN22" s="4"/>
      <c r="RO22" s="4"/>
      <c r="RR22" s="2"/>
      <c r="RT22" s="2"/>
      <c r="RU22" s="2"/>
      <c r="SA22" s="4"/>
      <c r="SC22" s="4"/>
      <c r="SN22" s="2"/>
      <c r="SQ22" s="4"/>
      <c r="SS22" s="4"/>
      <c r="TG22" s="2"/>
      <c r="TH22" s="2"/>
      <c r="TI22" s="2"/>
      <c r="TU22" s="4"/>
      <c r="TW22" s="4"/>
    </row>
    <row r="23" spans="1:543">
      <c r="A23">
        <v>8813</v>
      </c>
      <c r="B23">
        <v>7446</v>
      </c>
      <c r="C23">
        <v>1549660992</v>
      </c>
      <c r="D23" t="s">
        <v>166</v>
      </c>
      <c r="E23" t="s">
        <v>167</v>
      </c>
      <c r="F23" t="s">
        <v>168</v>
      </c>
      <c r="G23" s="2">
        <v>46333</v>
      </c>
      <c r="H23" t="s">
        <v>43</v>
      </c>
      <c r="I23" t="s">
        <v>169</v>
      </c>
      <c r="J23" t="s">
        <v>32</v>
      </c>
      <c r="K23" t="s">
        <v>170</v>
      </c>
      <c r="L23" t="s">
        <v>95</v>
      </c>
      <c r="M23" s="2"/>
      <c r="N23" t="s">
        <v>171</v>
      </c>
      <c r="O23" s="2">
        <f>DATE(YEAR(G23) + P23, MONTH(G23), DAY(G23))</f>
        <v>71535</v>
      </c>
      <c r="P23">
        <v>69</v>
      </c>
      <c r="Q23" s="2"/>
      <c r="R23" t="s">
        <v>47</v>
      </c>
      <c r="S23" t="s">
        <v>64</v>
      </c>
      <c r="T23" s="2">
        <v>45988</v>
      </c>
      <c r="U23" t="s">
        <v>49</v>
      </c>
      <c r="V23" t="s">
        <v>66</v>
      </c>
      <c r="W23">
        <v>9</v>
      </c>
      <c r="X23" s="1">
        <v>96445</v>
      </c>
      <c r="Y23" s="1">
        <v>19289</v>
      </c>
      <c r="Z23" s="1">
        <v>77156</v>
      </c>
      <c r="AA23" s="3">
        <v>255</v>
      </c>
      <c r="AK23" s="3"/>
      <c r="AM23" s="4"/>
      <c r="AO23" s="4"/>
      <c r="BA23" s="2"/>
      <c r="BB23" s="2"/>
      <c r="BD23" s="4"/>
      <c r="BF23" s="4"/>
      <c r="BM23" s="2"/>
      <c r="BO23" s="4"/>
      <c r="BQ23" s="4"/>
      <c r="CI23" s="2"/>
      <c r="CJ23" s="2"/>
      <c r="CN23" s="2"/>
      <c r="CQ23" s="2"/>
      <c r="CV23" s="4"/>
      <c r="CX23" s="4"/>
      <c r="CZ23" s="3"/>
      <c r="DB23" s="2"/>
      <c r="DC23" s="2"/>
      <c r="DE23" s="2"/>
      <c r="DF23" s="2"/>
      <c r="DV23" s="2"/>
      <c r="DW23" s="2"/>
      <c r="DX23" s="3"/>
      <c r="DY23" s="3"/>
      <c r="EC23" s="2"/>
      <c r="EF23" s="4"/>
      <c r="EH23" s="4"/>
      <c r="ER23" s="2"/>
      <c r="ES23" s="2"/>
      <c r="EX23" s="4"/>
      <c r="EZ23" s="4"/>
      <c r="FQ23" s="4"/>
      <c r="GE23" s="2"/>
      <c r="GJ23" s="4"/>
      <c r="GL23" s="4"/>
      <c r="GR23" s="2"/>
      <c r="GS23" s="3"/>
      <c r="GT23" s="3"/>
      <c r="GV23" s="2"/>
      <c r="GX23" s="3"/>
      <c r="HB23" s="3"/>
      <c r="HP23" s="2"/>
      <c r="HS23" s="4"/>
      <c r="HU23" s="4"/>
      <c r="II23" s="4"/>
      <c r="IK23" s="4"/>
      <c r="IS23" s="2"/>
      <c r="IT23" s="2"/>
      <c r="IV23" s="2"/>
      <c r="IW23" s="4"/>
      <c r="IY23" s="4"/>
      <c r="JH23" s="2"/>
      <c r="JK23" s="4"/>
      <c r="JM23" s="4"/>
      <c r="JZ23" s="2"/>
      <c r="KD23" s="4"/>
      <c r="KF23" s="4"/>
      <c r="KJ23" s="4"/>
      <c r="KU23" s="2"/>
      <c r="KW23" s="2"/>
      <c r="LC23" s="2"/>
      <c r="LF23" s="2"/>
      <c r="LK23" s="2"/>
      <c r="LM23" s="3"/>
      <c r="LT23" s="4"/>
      <c r="LV23" s="4"/>
      <c r="LZ23" s="3"/>
      <c r="MC23" s="3"/>
      <c r="NB23" s="2"/>
      <c r="NC23" s="2"/>
      <c r="NJ23" s="2"/>
      <c r="NN23" s="2"/>
      <c r="NO23" s="2"/>
      <c r="NP23" s="3"/>
      <c r="NT23" s="4"/>
      <c r="NV23" s="4"/>
      <c r="OA23" s="2"/>
      <c r="OB23" s="2"/>
      <c r="OK23" s="3"/>
      <c r="OR23" s="4"/>
      <c r="OT23" s="4"/>
      <c r="PD23" s="2"/>
      <c r="PH23" s="2"/>
      <c r="PQ23" s="2"/>
      <c r="PX23" s="2"/>
      <c r="QF23" s="4"/>
      <c r="QH23" s="4"/>
      <c r="QZ23" s="2"/>
      <c r="RA23" s="2"/>
      <c r="RM23" s="3"/>
      <c r="RN23" s="4"/>
      <c r="RO23" s="4"/>
      <c r="RR23" s="2"/>
      <c r="RT23" s="2"/>
      <c r="RU23" s="2"/>
      <c r="SA23" s="4"/>
      <c r="SC23" s="4"/>
      <c r="SN23" s="2"/>
      <c r="SQ23" s="4"/>
      <c r="SS23" s="4"/>
      <c r="TG23" s="2"/>
      <c r="TH23" s="2"/>
      <c r="TU23" s="4"/>
    </row>
    <row r="24" spans="1:543">
      <c r="A24">
        <v>7977</v>
      </c>
      <c r="B24">
        <v>4330</v>
      </c>
      <c r="C24">
        <v>6568403489</v>
      </c>
      <c r="D24" t="s">
        <v>172</v>
      </c>
      <c r="E24" t="s">
        <v>173</v>
      </c>
      <c r="F24" t="s">
        <v>174</v>
      </c>
      <c r="G24" s="2">
        <v>27304</v>
      </c>
      <c r="H24" t="s">
        <v>30</v>
      </c>
      <c r="I24" t="s">
        <v>75</v>
      </c>
      <c r="J24" t="s">
        <v>32</v>
      </c>
      <c r="K24" t="s">
        <v>175</v>
      </c>
      <c r="L24" t="s">
        <v>77</v>
      </c>
      <c r="M24" s="2"/>
      <c r="N24" t="s">
        <v>176</v>
      </c>
      <c r="O24" s="2">
        <f>DATE(YEAR(G24) + P24, MONTH(G24), DAY(G24))</f>
        <v>49950</v>
      </c>
      <c r="P24">
        <v>62</v>
      </c>
      <c r="Q24" s="2"/>
      <c r="R24" t="s">
        <v>36</v>
      </c>
      <c r="S24" t="s">
        <v>64</v>
      </c>
      <c r="T24" s="2">
        <v>44742</v>
      </c>
      <c r="U24" t="s">
        <v>133</v>
      </c>
      <c r="V24" t="s">
        <v>38</v>
      </c>
      <c r="W24">
        <v>14</v>
      </c>
      <c r="X24" s="1">
        <v>1122</v>
      </c>
      <c r="Y24" s="1">
        <v>224.4</v>
      </c>
      <c r="Z24" s="1">
        <v>897.6</v>
      </c>
      <c r="AA24" s="3">
        <f>631+897</f>
        <v>1528</v>
      </c>
      <c r="AK24" s="3"/>
      <c r="AM24" s="4"/>
      <c r="AO24" s="4"/>
      <c r="BB24" s="2"/>
      <c r="BD24" s="4"/>
      <c r="BF24" s="4"/>
      <c r="BM24" s="2"/>
      <c r="BO24" s="4"/>
      <c r="BQ24" s="4"/>
      <c r="CI24" s="2"/>
      <c r="CJ24" s="2"/>
      <c r="CN24" s="2"/>
      <c r="CQ24" s="2"/>
      <c r="CZ24" s="3"/>
      <c r="DB24" s="2"/>
      <c r="DC24" s="2"/>
      <c r="DE24" s="2"/>
      <c r="DF24" s="2"/>
      <c r="DW24" s="2"/>
      <c r="EF24" s="4"/>
      <c r="EH24" s="4"/>
      <c r="ER24" s="2"/>
      <c r="EU24" s="3"/>
      <c r="EX24" s="4"/>
      <c r="EZ24" s="4"/>
      <c r="FQ24" s="4"/>
      <c r="FS24" s="4"/>
      <c r="GE24" s="2"/>
      <c r="GJ24" s="4"/>
      <c r="GL24" s="4"/>
      <c r="GR24" s="2"/>
      <c r="GS24" s="3"/>
      <c r="GU24" s="3"/>
      <c r="GV24" s="2"/>
      <c r="GW24" s="3"/>
      <c r="HB24" s="3"/>
      <c r="HN24" s="3"/>
      <c r="HP24" s="2"/>
      <c r="HQ24" s="3"/>
      <c r="HS24" s="4"/>
      <c r="II24" s="4"/>
      <c r="IK24" s="4"/>
      <c r="IS24" s="2"/>
      <c r="IT24" s="2"/>
      <c r="IV24" s="2"/>
      <c r="IW24" s="4"/>
      <c r="IY24" s="4"/>
      <c r="JH24" s="2"/>
      <c r="JK24" s="4"/>
      <c r="JM24" s="4"/>
      <c r="KD24" s="4"/>
      <c r="KF24" s="4"/>
      <c r="KJ24" s="4"/>
      <c r="KT24" s="2"/>
      <c r="KU24" s="2"/>
      <c r="KW24" s="2"/>
      <c r="LC24" s="2"/>
      <c r="LF24" s="2"/>
      <c r="LK24" s="2"/>
      <c r="LT24" s="4"/>
      <c r="LV24" s="4"/>
      <c r="NB24" s="2"/>
      <c r="NC24" s="2"/>
      <c r="NJ24" s="2"/>
      <c r="NN24" s="2"/>
      <c r="NO24" s="2"/>
      <c r="NV24" s="4"/>
      <c r="OA24" s="2"/>
      <c r="OB24" s="2"/>
      <c r="ON24" s="2"/>
      <c r="OO24" s="3"/>
      <c r="OR24" s="4"/>
      <c r="OT24" s="4"/>
      <c r="PD24" s="2"/>
      <c r="PQ24" s="2"/>
      <c r="PX24" s="2"/>
      <c r="PZ24" s="2"/>
      <c r="QF24" s="4"/>
      <c r="QH24" s="4"/>
      <c r="QZ24" s="2"/>
      <c r="RN24" s="4"/>
      <c r="RR24" s="2"/>
      <c r="RT24" s="2"/>
      <c r="SA24" s="4"/>
      <c r="SC24" s="4"/>
      <c r="SN24" s="2"/>
      <c r="SQ24" s="4"/>
      <c r="SS24" s="4"/>
      <c r="TG24" s="2"/>
      <c r="TH24" s="2"/>
      <c r="TI24" s="2"/>
      <c r="TU24" s="4"/>
      <c r="TW24" s="4"/>
    </row>
    <row r="25" spans="1:543">
      <c r="A25">
        <v>7137</v>
      </c>
      <c r="B25">
        <v>3424</v>
      </c>
      <c r="C25">
        <v>7194225623</v>
      </c>
      <c r="D25" t="s">
        <v>110</v>
      </c>
      <c r="E25" t="s">
        <v>177</v>
      </c>
      <c r="F25" t="s">
        <v>178</v>
      </c>
      <c r="G25" s="2">
        <v>40413</v>
      </c>
      <c r="H25" t="s">
        <v>30</v>
      </c>
      <c r="I25" t="s">
        <v>137</v>
      </c>
      <c r="J25" t="s">
        <v>32</v>
      </c>
      <c r="K25" t="s">
        <v>179</v>
      </c>
      <c r="L25" t="s">
        <v>77</v>
      </c>
      <c r="M25" s="2"/>
      <c r="N25" t="s">
        <v>180</v>
      </c>
      <c r="O25" s="2">
        <f>DATE(YEAR(G25) + P25, MONTH(G25), DAY(G25))</f>
        <v>63424</v>
      </c>
      <c r="P25">
        <v>63</v>
      </c>
      <c r="Q25" s="2">
        <v>45046</v>
      </c>
      <c r="R25" t="s">
        <v>36</v>
      </c>
      <c r="S25" t="s">
        <v>181</v>
      </c>
      <c r="T25" s="2">
        <v>44136</v>
      </c>
      <c r="U25" t="s">
        <v>103</v>
      </c>
      <c r="V25" t="s">
        <v>56</v>
      </c>
      <c r="W25">
        <v>22</v>
      </c>
      <c r="X25" s="1">
        <v>96121</v>
      </c>
      <c r="Y25" s="1">
        <v>19224.2</v>
      </c>
      <c r="Z25" s="1">
        <v>76896.800000000003</v>
      </c>
      <c r="AA25" s="3">
        <v>758</v>
      </c>
      <c r="AK25" s="3"/>
      <c r="AM25" s="4"/>
      <c r="AO25" s="4"/>
      <c r="BA25" s="2"/>
      <c r="BB25" s="2"/>
      <c r="BD25" s="4"/>
      <c r="BF25" s="4"/>
      <c r="BM25" s="2"/>
      <c r="BO25" s="4"/>
      <c r="BQ25" s="4"/>
      <c r="CI25" s="2"/>
      <c r="CJ25" s="2"/>
      <c r="CN25" s="2"/>
      <c r="CQ25" s="2"/>
      <c r="CV25" s="4"/>
      <c r="CX25" s="4"/>
      <c r="DB25" s="2"/>
      <c r="DC25" s="2"/>
      <c r="DE25" s="2"/>
      <c r="DF25" s="2"/>
      <c r="DV25" s="2"/>
      <c r="DW25" s="2"/>
      <c r="EF25" s="4"/>
      <c r="EH25" s="4"/>
      <c r="ER25" s="2"/>
      <c r="ES25" s="2"/>
      <c r="EX25" s="4"/>
      <c r="EZ25" s="4"/>
      <c r="FQ25" s="4"/>
      <c r="FS25" s="4"/>
      <c r="GE25" s="2"/>
      <c r="GJ25" s="4"/>
      <c r="GL25" s="4"/>
      <c r="GR25" s="2"/>
      <c r="GT25" s="3"/>
      <c r="GW25" s="3"/>
      <c r="GX25" s="3"/>
      <c r="GY25" s="3"/>
      <c r="HB25" s="3"/>
      <c r="HP25" s="2"/>
      <c r="HS25" s="4"/>
      <c r="HU25" s="4"/>
      <c r="II25" s="4"/>
      <c r="IK25" s="4"/>
      <c r="IS25" s="2"/>
      <c r="IT25" s="2"/>
      <c r="IW25" s="4"/>
      <c r="IY25" s="4"/>
      <c r="JH25" s="2"/>
      <c r="JK25" s="4"/>
      <c r="JM25" s="4"/>
      <c r="JZ25" s="2"/>
      <c r="KD25" s="4"/>
      <c r="KF25" s="4"/>
      <c r="KJ25" s="4"/>
      <c r="KT25" s="2"/>
      <c r="KU25" s="2"/>
      <c r="LC25" s="2"/>
      <c r="LF25" s="2"/>
      <c r="LK25" s="2"/>
      <c r="LT25" s="4"/>
      <c r="LV25" s="4"/>
      <c r="NB25" s="2"/>
      <c r="NC25" s="2"/>
      <c r="NJ25" s="2"/>
      <c r="NO25" s="2"/>
      <c r="NT25" s="4"/>
      <c r="NV25" s="4"/>
      <c r="OA25" s="2"/>
      <c r="OB25" s="2"/>
      <c r="ON25" s="2"/>
      <c r="OR25" s="4"/>
      <c r="OT25" s="4"/>
      <c r="PD25" s="2"/>
      <c r="PH25" s="2"/>
      <c r="PP25" s="3"/>
      <c r="PQ25" s="2"/>
      <c r="PX25" s="2"/>
      <c r="PZ25" s="2"/>
      <c r="QF25" s="4"/>
      <c r="RA25" s="2"/>
      <c r="RN25" s="4"/>
      <c r="RR25" s="2"/>
      <c r="RT25" s="2"/>
      <c r="SA25" s="4"/>
      <c r="SC25" s="4"/>
      <c r="SN25" s="2"/>
      <c r="SQ25" s="4"/>
      <c r="SS25" s="4"/>
      <c r="TG25" s="2"/>
      <c r="TH25" s="2"/>
      <c r="TI25" s="2"/>
      <c r="TU25" s="4"/>
      <c r="TW25" s="4"/>
    </row>
    <row r="26" spans="1:543">
      <c r="A26">
        <v>1797</v>
      </c>
      <c r="B26">
        <v>768</v>
      </c>
      <c r="C26">
        <v>4108744293</v>
      </c>
      <c r="D26" t="s">
        <v>50</v>
      </c>
      <c r="E26" t="s">
        <v>182</v>
      </c>
      <c r="F26" t="s">
        <v>183</v>
      </c>
      <c r="G26" s="2">
        <v>40317</v>
      </c>
      <c r="H26" t="s">
        <v>30</v>
      </c>
      <c r="I26" t="s">
        <v>53</v>
      </c>
      <c r="J26" t="s">
        <v>32</v>
      </c>
      <c r="K26" t="s">
        <v>76</v>
      </c>
      <c r="L26" t="s">
        <v>34</v>
      </c>
      <c r="M26" s="2"/>
      <c r="N26" t="s">
        <v>184</v>
      </c>
      <c r="O26" s="2">
        <f>DATE(YEAR(G26) + P26, MONTH(G26), DAY(G26))</f>
        <v>62963</v>
      </c>
      <c r="P26">
        <v>62</v>
      </c>
      <c r="Q26" s="2">
        <v>45976</v>
      </c>
      <c r="R26" t="s">
        <v>36</v>
      </c>
      <c r="S26" t="s">
        <v>109</v>
      </c>
      <c r="T26" s="2">
        <v>35682</v>
      </c>
      <c r="U26" t="s">
        <v>103</v>
      </c>
      <c r="V26" t="s">
        <v>66</v>
      </c>
      <c r="W26">
        <v>28</v>
      </c>
      <c r="X26" s="1">
        <v>33060</v>
      </c>
      <c r="Y26" s="1">
        <v>6612</v>
      </c>
      <c r="Z26" s="1">
        <f>26448+963</f>
        <v>27411</v>
      </c>
      <c r="AA26" s="3">
        <v>963</v>
      </c>
      <c r="AJ26" s="3"/>
      <c r="AK26" s="3"/>
      <c r="AM26" s="4"/>
      <c r="AO26" s="4"/>
      <c r="BA26" s="2"/>
      <c r="BB26" s="2"/>
      <c r="BD26" s="4"/>
      <c r="BF26" s="4"/>
      <c r="BM26" s="2"/>
      <c r="BO26" s="4"/>
      <c r="BQ26" s="4"/>
      <c r="CI26" s="2"/>
      <c r="CJ26" s="2"/>
      <c r="CN26" s="2"/>
      <c r="CV26" s="4"/>
      <c r="CX26" s="4"/>
      <c r="DB26" s="2"/>
      <c r="DE26" s="2"/>
      <c r="DF26" s="2"/>
      <c r="DV26" s="2"/>
      <c r="DW26" s="2"/>
      <c r="ER26" s="2"/>
      <c r="ES26" s="2"/>
      <c r="EX26" s="4"/>
      <c r="EZ26" s="4"/>
      <c r="FQ26" s="4"/>
      <c r="GE26" s="2"/>
      <c r="GJ26" s="4"/>
      <c r="GR26" s="2"/>
      <c r="GV26" s="2"/>
      <c r="GY26" s="3"/>
      <c r="HB26" s="3"/>
      <c r="HP26" s="2"/>
      <c r="HS26" s="4"/>
      <c r="HU26" s="4"/>
      <c r="II26" s="4"/>
      <c r="IK26" s="4"/>
      <c r="IS26" s="2"/>
      <c r="IT26" s="2"/>
      <c r="IV26" s="2"/>
      <c r="IW26" s="4"/>
      <c r="IY26" s="4"/>
      <c r="JH26" s="2"/>
      <c r="JK26" s="4"/>
      <c r="JM26" s="4"/>
      <c r="JZ26" s="2"/>
      <c r="KD26" s="4"/>
      <c r="KF26" s="4"/>
      <c r="KJ26" s="4"/>
      <c r="KT26" s="2"/>
      <c r="KU26" s="2"/>
      <c r="KW26" s="2"/>
      <c r="LC26" s="2"/>
      <c r="LF26" s="2"/>
      <c r="LH26" s="3"/>
      <c r="LK26" s="2"/>
      <c r="LT26" s="4"/>
      <c r="LV26" s="4"/>
      <c r="LZ26" s="3"/>
      <c r="ME26" s="3"/>
      <c r="MI26" s="3"/>
      <c r="NB26" s="2"/>
      <c r="NC26" s="2"/>
      <c r="NJ26" s="2"/>
      <c r="NN26" s="2"/>
      <c r="NO26" s="2"/>
      <c r="NT26" s="4"/>
      <c r="NV26" s="4"/>
      <c r="OA26" s="2"/>
      <c r="OK26" s="3"/>
      <c r="ON26" s="2"/>
      <c r="OR26" s="4"/>
      <c r="OT26" s="4"/>
      <c r="PD26" s="2"/>
      <c r="PH26" s="2"/>
      <c r="PI26" s="3"/>
      <c r="PQ26" s="2"/>
      <c r="PX26" s="2"/>
      <c r="PZ26" s="2"/>
      <c r="QF26" s="4"/>
      <c r="QH26" s="4"/>
      <c r="QZ26" s="2"/>
      <c r="RA26" s="2"/>
      <c r="RM26" s="3"/>
      <c r="RN26" s="4"/>
      <c r="RO26" s="4"/>
      <c r="RR26" s="2"/>
      <c r="RT26" s="2"/>
      <c r="RU26" s="2"/>
      <c r="SA26" s="4"/>
      <c r="SC26" s="4"/>
      <c r="SN26" s="2"/>
      <c r="SQ26" s="4"/>
      <c r="SS26" s="4"/>
      <c r="TG26" s="2"/>
      <c r="TH26" s="2"/>
      <c r="TI26" s="2"/>
      <c r="TU26" s="4"/>
      <c r="TW26" s="4"/>
    </row>
    <row r="27" spans="1:543">
      <c r="A27">
        <v>2819</v>
      </c>
      <c r="B27">
        <v>6333</v>
      </c>
      <c r="C27">
        <v>4526126960</v>
      </c>
      <c r="D27" t="s">
        <v>185</v>
      </c>
      <c r="E27" t="s">
        <v>186</v>
      </c>
      <c r="F27" t="s">
        <v>187</v>
      </c>
      <c r="G27" s="2">
        <v>40220</v>
      </c>
      <c r="H27" t="s">
        <v>30</v>
      </c>
      <c r="I27" t="s">
        <v>70</v>
      </c>
      <c r="J27" t="s">
        <v>32</v>
      </c>
      <c r="K27" t="s">
        <v>188</v>
      </c>
      <c r="L27" t="s">
        <v>95</v>
      </c>
      <c r="M27" s="2"/>
      <c r="N27" t="s">
        <v>189</v>
      </c>
      <c r="O27" s="2">
        <f>DATE(YEAR(G27) + P27, MONTH(G27), DAY(G27))</f>
        <v>63231</v>
      </c>
      <c r="P27">
        <v>63</v>
      </c>
      <c r="Q27" s="2"/>
      <c r="R27" t="s">
        <v>47</v>
      </c>
      <c r="S27" t="s">
        <v>109</v>
      </c>
      <c r="T27" s="2">
        <v>41850</v>
      </c>
      <c r="U27" t="s">
        <v>133</v>
      </c>
      <c r="V27" t="s">
        <v>56</v>
      </c>
      <c r="W27">
        <v>5</v>
      </c>
      <c r="X27" s="1">
        <v>82790</v>
      </c>
      <c r="Y27" s="1">
        <v>16558</v>
      </c>
      <c r="Z27" s="1">
        <v>66232</v>
      </c>
      <c r="AA27" s="3">
        <v>813</v>
      </c>
      <c r="AK27" s="3"/>
      <c r="AM27" s="4"/>
      <c r="BA27" s="2"/>
      <c r="BB27" s="2"/>
      <c r="BD27" s="4"/>
      <c r="BF27" s="4"/>
      <c r="BM27" s="2"/>
      <c r="BO27" s="4"/>
      <c r="BQ27" s="4"/>
      <c r="CI27" s="2"/>
      <c r="CJ27" s="2"/>
      <c r="CN27" s="2"/>
      <c r="CQ27" s="2"/>
      <c r="CV27" s="4"/>
      <c r="CX27" s="4"/>
      <c r="DB27" s="2"/>
      <c r="DC27" s="2"/>
      <c r="DE27" s="2"/>
      <c r="DF27" s="2"/>
      <c r="DV27" s="2"/>
      <c r="DW27" s="2"/>
      <c r="EF27" s="4"/>
      <c r="EH27" s="4"/>
      <c r="ER27" s="2"/>
      <c r="ES27" s="2"/>
      <c r="EX27" s="4"/>
      <c r="EZ27" s="4"/>
      <c r="FQ27" s="4"/>
      <c r="FS27" s="4"/>
      <c r="GE27" s="2"/>
      <c r="GJ27" s="4"/>
      <c r="GL27" s="4"/>
      <c r="GV27" s="2"/>
      <c r="GW27" s="3"/>
      <c r="GY27" s="3"/>
      <c r="HB27" s="3"/>
      <c r="HO27" s="3"/>
      <c r="HS27" s="4"/>
      <c r="II27" s="4"/>
      <c r="IK27" s="4"/>
      <c r="IS27" s="2"/>
      <c r="IT27" s="2"/>
      <c r="IV27" s="2"/>
      <c r="IW27" s="4"/>
      <c r="JH27" s="2"/>
      <c r="JK27" s="4"/>
      <c r="JM27" s="4"/>
      <c r="JZ27" s="2"/>
      <c r="KD27" s="4"/>
      <c r="KF27" s="4"/>
      <c r="KJ27" s="4"/>
      <c r="KU27" s="2"/>
      <c r="KW27" s="2"/>
      <c r="LC27" s="2"/>
      <c r="LF27" s="2"/>
      <c r="LK27" s="2"/>
      <c r="LT27" s="4"/>
      <c r="LV27" s="4"/>
      <c r="NC27" s="2"/>
      <c r="NG27" s="5"/>
      <c r="NJ27" s="2"/>
      <c r="NN27" s="2"/>
      <c r="NO27" s="2"/>
      <c r="NP27" s="3"/>
      <c r="NV27" s="4"/>
      <c r="OA27" s="2"/>
      <c r="OB27" s="2"/>
      <c r="ON27" s="2"/>
      <c r="OR27" s="4"/>
      <c r="OT27" s="4"/>
      <c r="PD27" s="2"/>
      <c r="PH27" s="2"/>
      <c r="PQ27" s="2"/>
      <c r="PX27" s="2"/>
      <c r="PY27" s="3"/>
      <c r="QF27" s="4"/>
      <c r="QH27" s="4"/>
      <c r="QZ27" s="2"/>
      <c r="RA27" s="2"/>
      <c r="RN27" s="4"/>
      <c r="RO27" s="4"/>
      <c r="RR27" s="2"/>
      <c r="RT27" s="2"/>
      <c r="SA27" s="4"/>
      <c r="SC27" s="4"/>
      <c r="SN27" s="2"/>
      <c r="SQ27" s="4"/>
      <c r="SS27" s="4"/>
      <c r="TG27" s="2"/>
      <c r="TH27" s="2"/>
      <c r="TI27" s="2"/>
      <c r="TU27" s="4"/>
      <c r="TW27" s="4"/>
    </row>
    <row r="28" spans="1:543">
      <c r="A28">
        <v>2746</v>
      </c>
      <c r="B28">
        <v>4475</v>
      </c>
      <c r="C28">
        <v>8593228805</v>
      </c>
      <c r="D28" t="s">
        <v>104</v>
      </c>
      <c r="E28" t="s">
        <v>190</v>
      </c>
      <c r="F28" t="s">
        <v>191</v>
      </c>
      <c r="G28" s="2">
        <v>34128</v>
      </c>
      <c r="H28" t="s">
        <v>43</v>
      </c>
      <c r="I28" t="s">
        <v>192</v>
      </c>
      <c r="J28" t="s">
        <v>61</v>
      </c>
      <c r="K28" t="s">
        <v>193</v>
      </c>
      <c r="L28" t="s">
        <v>77</v>
      </c>
      <c r="M28" s="2">
        <v>26726</v>
      </c>
      <c r="N28" t="s">
        <v>194</v>
      </c>
      <c r="O28" s="2">
        <f>DATE(YEAR(G28) + P28, MONTH(G28), DAY(G28))</f>
        <v>56773</v>
      </c>
      <c r="P28">
        <v>62</v>
      </c>
      <c r="Q28" s="2"/>
      <c r="R28" t="s">
        <v>47</v>
      </c>
      <c r="S28" t="s">
        <v>48</v>
      </c>
      <c r="T28" s="2">
        <v>27304</v>
      </c>
      <c r="U28" t="s">
        <v>38</v>
      </c>
      <c r="V28" t="s">
        <v>38</v>
      </c>
      <c r="W28">
        <v>23</v>
      </c>
      <c r="X28" s="1">
        <v>61526</v>
      </c>
      <c r="Y28" s="1">
        <v>12305.2</v>
      </c>
      <c r="Z28" s="1">
        <v>49220.800000000003</v>
      </c>
      <c r="AA28" s="3">
        <v>228</v>
      </c>
      <c r="AK28" s="3"/>
      <c r="AM28" s="4"/>
      <c r="AO28" s="4"/>
      <c r="BA28" s="2"/>
      <c r="BB28" s="2"/>
      <c r="BD28" s="4"/>
      <c r="BF28" s="4"/>
      <c r="BM28" s="2"/>
      <c r="BO28" s="4"/>
      <c r="CI28" s="2"/>
      <c r="CJ28" s="2"/>
      <c r="CN28" s="2"/>
      <c r="CQ28" s="2"/>
      <c r="CV28" s="4"/>
      <c r="CX28" s="4"/>
      <c r="DB28" s="2"/>
      <c r="DC28" s="2"/>
      <c r="DE28" s="2"/>
      <c r="DF28" s="2"/>
      <c r="DV28" s="2"/>
      <c r="DW28" s="2"/>
      <c r="EF28" s="4"/>
      <c r="EH28" s="4"/>
      <c r="ER28" s="2"/>
      <c r="ES28" s="2"/>
      <c r="EU28" s="3"/>
      <c r="EX28" s="4"/>
      <c r="EZ28" s="4"/>
      <c r="FQ28" s="4"/>
      <c r="FS28" s="4"/>
      <c r="GE28" s="2"/>
      <c r="GJ28" s="4"/>
      <c r="GL28" s="4"/>
      <c r="GR28" s="2"/>
      <c r="GT28" s="3"/>
      <c r="GV28" s="2"/>
      <c r="HB28" s="3"/>
      <c r="HP28" s="2"/>
      <c r="HQ28" s="3"/>
      <c r="HS28" s="4"/>
      <c r="HU28" s="4"/>
      <c r="II28" s="4"/>
      <c r="IK28" s="4"/>
      <c r="IS28" s="2"/>
      <c r="IT28" s="2"/>
      <c r="IW28" s="4"/>
      <c r="IY28" s="4"/>
      <c r="JH28" s="2"/>
      <c r="JK28" s="4"/>
      <c r="JM28" s="4"/>
      <c r="JZ28" s="2"/>
      <c r="KC28" s="3"/>
      <c r="KD28" s="4"/>
      <c r="KF28" s="4"/>
      <c r="KJ28" s="4"/>
      <c r="KT28" s="2"/>
      <c r="KU28" s="2"/>
      <c r="KW28" s="2"/>
      <c r="LC28" s="2"/>
      <c r="LF28" s="2"/>
      <c r="LK28" s="2"/>
      <c r="LT28" s="4"/>
      <c r="LV28" s="4"/>
      <c r="LZ28" s="3"/>
      <c r="NB28" s="2"/>
      <c r="NC28" s="2"/>
      <c r="NG28" s="5"/>
      <c r="NJ28" s="2"/>
      <c r="NN28" s="2"/>
      <c r="NO28" s="2"/>
      <c r="NQ28" s="3"/>
      <c r="NT28" s="4"/>
      <c r="NV28" s="4"/>
      <c r="OA28" s="2"/>
      <c r="OB28" s="2"/>
      <c r="OR28" s="4"/>
      <c r="OT28" s="4"/>
      <c r="PD28" s="2"/>
      <c r="PH28" s="2"/>
      <c r="PQ28" s="2"/>
      <c r="PX28" s="2"/>
      <c r="PZ28" s="2"/>
      <c r="QF28" s="4"/>
      <c r="QH28" s="4"/>
      <c r="QZ28" s="2"/>
      <c r="RA28" s="2"/>
      <c r="RN28" s="4"/>
      <c r="RO28" s="4"/>
      <c r="RR28" s="2"/>
      <c r="RT28" s="2"/>
      <c r="SA28" s="4"/>
      <c r="SC28" s="4"/>
      <c r="SN28" s="2"/>
      <c r="SQ28" s="4"/>
      <c r="SS28" s="4"/>
      <c r="TH28" s="2"/>
      <c r="TI28" s="2"/>
      <c r="TU28" s="4"/>
      <c r="TW28" s="4"/>
    </row>
    <row r="29" spans="1:543">
      <c r="A29">
        <v>9486</v>
      </c>
      <c r="B29">
        <v>4112</v>
      </c>
      <c r="C29">
        <v>2386055712</v>
      </c>
      <c r="D29" t="s">
        <v>91</v>
      </c>
      <c r="E29" t="s">
        <v>195</v>
      </c>
      <c r="F29" t="s">
        <v>196</v>
      </c>
      <c r="G29" s="2">
        <v>40542</v>
      </c>
      <c r="H29" t="s">
        <v>30</v>
      </c>
      <c r="I29" t="s">
        <v>70</v>
      </c>
      <c r="J29" t="s">
        <v>61</v>
      </c>
      <c r="K29" t="s">
        <v>197</v>
      </c>
      <c r="L29" t="s">
        <v>95</v>
      </c>
      <c r="M29" s="2">
        <v>28432</v>
      </c>
      <c r="N29" t="s">
        <v>198</v>
      </c>
      <c r="O29" s="2">
        <f>DATE(YEAR(G29) + P29, MONTH(G29), DAY(G29))</f>
        <v>64283</v>
      </c>
      <c r="P29">
        <v>65</v>
      </c>
      <c r="Q29" s="2"/>
      <c r="R29" t="s">
        <v>47</v>
      </c>
      <c r="S29" t="s">
        <v>102</v>
      </c>
      <c r="T29" s="2">
        <v>26633</v>
      </c>
      <c r="U29" t="s">
        <v>49</v>
      </c>
      <c r="V29" t="s">
        <v>56</v>
      </c>
      <c r="W29">
        <v>20</v>
      </c>
      <c r="X29" s="1">
        <v>23405</v>
      </c>
      <c r="Y29" s="1">
        <v>4681</v>
      </c>
      <c r="Z29" s="1">
        <v>18724</v>
      </c>
      <c r="AA29" s="3">
        <v>716</v>
      </c>
      <c r="AK29" s="3"/>
      <c r="AM29" s="4"/>
      <c r="AO29" s="4"/>
      <c r="BA29" s="2"/>
      <c r="BD29" s="4"/>
      <c r="BF29" s="4"/>
      <c r="BM29" s="2"/>
      <c r="BO29" s="4"/>
      <c r="CF29" s="3"/>
      <c r="CI29" s="2"/>
      <c r="CJ29" s="2"/>
      <c r="CN29" s="2"/>
      <c r="CV29" s="4"/>
      <c r="CX29" s="4"/>
      <c r="DB29" s="2"/>
      <c r="DC29" s="2"/>
      <c r="DD29" s="3"/>
      <c r="DE29" s="2"/>
      <c r="DF29" s="2"/>
      <c r="DV29" s="2"/>
      <c r="DW29" s="2"/>
      <c r="EF29" s="4"/>
      <c r="EH29" s="4"/>
      <c r="ER29" s="2"/>
      <c r="ES29" s="2"/>
      <c r="EX29" s="4"/>
      <c r="EZ29" s="4"/>
      <c r="FS29" s="4"/>
      <c r="GE29" s="2"/>
      <c r="GJ29" s="4"/>
      <c r="GL29" s="4"/>
      <c r="GR29" s="2"/>
      <c r="GS29" s="3"/>
      <c r="GV29" s="2"/>
      <c r="GX29" s="3"/>
      <c r="HB29" s="3"/>
      <c r="HP29" s="2"/>
      <c r="HQ29" s="3"/>
      <c r="HS29" s="4"/>
      <c r="HU29" s="4"/>
      <c r="II29" s="4"/>
      <c r="IK29" s="4"/>
      <c r="IS29" s="2"/>
      <c r="IT29" s="2"/>
      <c r="IV29" s="2"/>
      <c r="IW29" s="4"/>
      <c r="IY29" s="4"/>
      <c r="JH29" s="2"/>
      <c r="JK29" s="4"/>
      <c r="JM29" s="4"/>
      <c r="JZ29" s="2"/>
      <c r="KD29" s="4"/>
      <c r="KF29" s="4"/>
      <c r="KJ29" s="4"/>
      <c r="KT29" s="2"/>
      <c r="KU29" s="2"/>
      <c r="KW29" s="2"/>
      <c r="LC29" s="2"/>
      <c r="LF29" s="2"/>
      <c r="LK29" s="2"/>
      <c r="LM29" s="3"/>
      <c r="LT29" s="4"/>
      <c r="LV29" s="4"/>
      <c r="NB29" s="2"/>
      <c r="NC29" s="2"/>
      <c r="NJ29" s="2"/>
      <c r="NN29" s="2"/>
      <c r="NO29" s="2"/>
      <c r="NV29" s="4"/>
      <c r="OA29" s="2"/>
      <c r="OB29" s="2"/>
      <c r="ON29" s="2"/>
      <c r="OR29" s="4"/>
      <c r="PD29" s="2"/>
      <c r="PH29" s="2"/>
      <c r="PQ29" s="2"/>
      <c r="PX29" s="2"/>
      <c r="PZ29" s="2"/>
      <c r="QF29" s="4"/>
      <c r="QH29" s="4"/>
      <c r="QZ29" s="2"/>
      <c r="RN29" s="4"/>
      <c r="RO29" s="4"/>
      <c r="RR29" s="2"/>
      <c r="RT29" s="2"/>
      <c r="RU29" s="2"/>
      <c r="SA29" s="4"/>
      <c r="SC29" s="4"/>
      <c r="SM29" s="3"/>
      <c r="SN29" s="2"/>
      <c r="SQ29" s="4"/>
      <c r="SS29" s="4"/>
      <c r="TG29" s="2"/>
      <c r="TH29" s="2"/>
      <c r="TI29" s="2"/>
      <c r="TU29" s="4"/>
      <c r="TW29" s="4"/>
    </row>
    <row r="30" spans="1:543">
      <c r="A30">
        <v>8032</v>
      </c>
      <c r="B30">
        <v>6121</v>
      </c>
      <c r="C30">
        <v>1567423072</v>
      </c>
      <c r="D30" t="s">
        <v>199</v>
      </c>
      <c r="E30" t="s">
        <v>200</v>
      </c>
      <c r="F30" t="s">
        <v>201</v>
      </c>
      <c r="G30" s="2">
        <v>36923</v>
      </c>
      <c r="H30" t="s">
        <v>43</v>
      </c>
      <c r="I30" t="s">
        <v>44</v>
      </c>
      <c r="J30" t="s">
        <v>61</v>
      </c>
      <c r="K30" t="s">
        <v>202</v>
      </c>
      <c r="L30" t="s">
        <v>34</v>
      </c>
      <c r="M30" s="2">
        <v>44134</v>
      </c>
      <c r="N30" t="s">
        <v>203</v>
      </c>
      <c r="O30" s="2">
        <f>DATE(YEAR(G30) + P30, MONTH(G30), DAY(G30))</f>
        <v>61394</v>
      </c>
      <c r="P30">
        <v>67</v>
      </c>
      <c r="Q30" s="2"/>
      <c r="R30" t="s">
        <v>47</v>
      </c>
      <c r="S30" t="s">
        <v>37</v>
      </c>
      <c r="T30" s="2">
        <v>43869</v>
      </c>
      <c r="U30" t="s">
        <v>65</v>
      </c>
      <c r="V30" t="s">
        <v>66</v>
      </c>
      <c r="W30">
        <v>5</v>
      </c>
      <c r="X30" s="1">
        <v>42366</v>
      </c>
      <c r="Y30" s="1">
        <v>8473.2000000000007</v>
      </c>
      <c r="Z30" s="1">
        <v>33892.800000000003</v>
      </c>
      <c r="AA30" s="3">
        <v>948</v>
      </c>
      <c r="AK30" s="3"/>
      <c r="AM30" s="4"/>
      <c r="BA30" s="2"/>
      <c r="BB30" s="2"/>
      <c r="BD30" s="4"/>
      <c r="BF30" s="4"/>
      <c r="BM30" s="2"/>
      <c r="BO30" s="4"/>
      <c r="BQ30" s="4"/>
      <c r="CI30" s="2"/>
      <c r="CJ30" s="2"/>
      <c r="CP30" s="3"/>
      <c r="CQ30" s="2"/>
      <c r="CV30" s="4"/>
      <c r="CX30" s="4"/>
      <c r="DB30" s="2"/>
      <c r="DC30" s="2"/>
      <c r="DE30" s="2"/>
      <c r="DF30" s="2"/>
      <c r="DV30" s="2"/>
      <c r="DW30" s="2"/>
      <c r="EF30" s="4"/>
      <c r="EH30" s="4"/>
      <c r="ES30" s="2"/>
      <c r="EX30" s="4"/>
      <c r="EZ30" s="4"/>
      <c r="FQ30" s="4"/>
      <c r="FS30" s="4"/>
      <c r="GE30" s="2"/>
      <c r="GJ30" s="4"/>
      <c r="GL30" s="4"/>
      <c r="GR30" s="2"/>
      <c r="GS30" s="3"/>
      <c r="GU30" s="3"/>
      <c r="GV30" s="2"/>
      <c r="GW30" s="3"/>
      <c r="HB30" s="3"/>
      <c r="HN30" s="3"/>
      <c r="HP30" s="2"/>
      <c r="HQ30" s="3"/>
      <c r="HS30" s="4"/>
      <c r="II30" s="4"/>
      <c r="IK30" s="4"/>
      <c r="IS30" s="2"/>
      <c r="IT30" s="2"/>
      <c r="IV30" s="2"/>
      <c r="IW30" s="4"/>
      <c r="IY30" s="4"/>
      <c r="JH30" s="2"/>
      <c r="JK30" s="4"/>
      <c r="JM30" s="4"/>
      <c r="JZ30" s="2"/>
      <c r="KD30" s="4"/>
      <c r="KF30" s="4"/>
      <c r="KJ30" s="4"/>
      <c r="KT30" s="2"/>
      <c r="KU30" s="2"/>
      <c r="KW30" s="2"/>
      <c r="LC30" s="2"/>
      <c r="LK30" s="2"/>
      <c r="LV30" s="4"/>
      <c r="NB30" s="2"/>
      <c r="NC30" s="2"/>
      <c r="NN30" s="2"/>
      <c r="NO30" s="2"/>
      <c r="NT30" s="4"/>
      <c r="NV30" s="4"/>
      <c r="OA30" s="2"/>
      <c r="OB30" s="2"/>
      <c r="ON30" s="2"/>
      <c r="OR30" s="4"/>
      <c r="OT30" s="4"/>
      <c r="PD30" s="2"/>
      <c r="PH30" s="2"/>
      <c r="PX30" s="2"/>
      <c r="PZ30" s="2"/>
      <c r="QF30" s="4"/>
      <c r="QH30" s="4"/>
      <c r="QZ30" s="2"/>
      <c r="RA30" s="2"/>
      <c r="RN30" s="4"/>
      <c r="RO30" s="4"/>
      <c r="RR30" s="2"/>
      <c r="RT30" s="2"/>
      <c r="RU30" s="2"/>
      <c r="SA30" s="4"/>
      <c r="SC30" s="4"/>
      <c r="SQ30" s="4"/>
      <c r="SS30" s="4"/>
      <c r="TG30" s="2"/>
      <c r="TH30" s="2"/>
      <c r="TI30" s="2"/>
      <c r="TU30" s="4"/>
      <c r="TW30" s="4"/>
    </row>
    <row r="31" spans="1:543">
      <c r="A31">
        <v>3730</v>
      </c>
      <c r="B31">
        <v>2252</v>
      </c>
      <c r="C31">
        <v>9532001207</v>
      </c>
      <c r="D31" t="s">
        <v>50</v>
      </c>
      <c r="E31" t="s">
        <v>204</v>
      </c>
      <c r="F31" t="s">
        <v>205</v>
      </c>
      <c r="G31" s="2">
        <v>32786</v>
      </c>
      <c r="H31" t="s">
        <v>30</v>
      </c>
      <c r="I31" t="s">
        <v>137</v>
      </c>
      <c r="J31" t="s">
        <v>32</v>
      </c>
      <c r="K31" t="s">
        <v>206</v>
      </c>
      <c r="L31" t="s">
        <v>34</v>
      </c>
      <c r="M31" s="2"/>
      <c r="N31" t="s">
        <v>207</v>
      </c>
      <c r="O31" s="2">
        <f>DATE(YEAR(G31) + P31, MONTH(G31), DAY(G31))</f>
        <v>56527</v>
      </c>
      <c r="P31">
        <v>65</v>
      </c>
      <c r="Q31" s="2"/>
      <c r="R31" t="s">
        <v>47</v>
      </c>
      <c r="S31" t="s">
        <v>109</v>
      </c>
      <c r="T31" s="2">
        <v>29140</v>
      </c>
      <c r="U31" t="s">
        <v>38</v>
      </c>
      <c r="V31" t="s">
        <v>38</v>
      </c>
      <c r="W31">
        <v>12</v>
      </c>
      <c r="X31" s="1">
        <v>29822</v>
      </c>
      <c r="Y31" s="1">
        <v>5964.4000000000005</v>
      </c>
      <c r="Z31" s="1">
        <v>23857.599999999999</v>
      </c>
      <c r="AA31" s="3">
        <v>806</v>
      </c>
      <c r="AK31" s="3"/>
      <c r="AM31" s="4"/>
      <c r="AO31" s="4"/>
      <c r="BA31" s="2"/>
      <c r="BD31" s="4"/>
      <c r="BF31" s="4"/>
      <c r="BM31" s="2"/>
      <c r="BO31" s="4"/>
      <c r="BQ31" s="4"/>
      <c r="CI31" s="2"/>
      <c r="CJ31" s="2"/>
      <c r="CN31" s="2"/>
      <c r="CQ31" s="2"/>
      <c r="CV31" s="4"/>
      <c r="CX31" s="4"/>
      <c r="DB31" s="2"/>
      <c r="DC31" s="2"/>
      <c r="DE31" s="2"/>
      <c r="DF31" s="2"/>
      <c r="DV31" s="2"/>
      <c r="DW31" s="2"/>
      <c r="EF31" s="4"/>
      <c r="EH31" s="4"/>
      <c r="ER31" s="2"/>
      <c r="ES31" s="2"/>
      <c r="EX31" s="4"/>
      <c r="EZ31" s="4"/>
      <c r="FS31" s="4"/>
      <c r="GE31" s="2"/>
      <c r="GJ31" s="4"/>
      <c r="GL31" s="4"/>
      <c r="GR31" s="2"/>
      <c r="GS31" s="3"/>
      <c r="GU31" s="3"/>
      <c r="GV31" s="2"/>
      <c r="GX31" s="3"/>
      <c r="HB31" s="3"/>
      <c r="HP31" s="2"/>
      <c r="HS31" s="4"/>
      <c r="HU31" s="4"/>
      <c r="II31" s="4"/>
      <c r="IK31" s="4"/>
      <c r="IS31" s="2"/>
      <c r="IT31" s="2"/>
      <c r="IV31" s="2"/>
      <c r="IW31" s="4"/>
      <c r="IY31" s="4"/>
      <c r="JK31" s="4"/>
      <c r="JM31" s="4"/>
      <c r="JZ31" s="2"/>
      <c r="KD31" s="4"/>
      <c r="KF31" s="4"/>
      <c r="KJ31" s="4"/>
      <c r="KT31" s="2"/>
      <c r="KW31" s="2"/>
      <c r="LC31" s="2"/>
      <c r="LK31" s="2"/>
      <c r="LT31" s="4"/>
      <c r="LV31" s="4"/>
      <c r="MG31" s="3"/>
      <c r="MK31" s="3"/>
      <c r="NB31" s="2"/>
      <c r="NC31" s="2"/>
      <c r="NJ31" s="2"/>
      <c r="NN31" s="2"/>
      <c r="NO31" s="2"/>
      <c r="NT31" s="4"/>
      <c r="NV31" s="4"/>
      <c r="OA31" s="2"/>
      <c r="OB31" s="2"/>
      <c r="ON31" s="2"/>
      <c r="OO31" s="3"/>
      <c r="OR31" s="4"/>
      <c r="PD31" s="2"/>
      <c r="PH31" s="2"/>
      <c r="PQ31" s="2"/>
      <c r="PX31" s="2"/>
      <c r="PZ31" s="2"/>
      <c r="QF31" s="4"/>
      <c r="QH31" s="4"/>
      <c r="QZ31" s="2"/>
      <c r="RA31" s="2"/>
      <c r="RN31" s="4"/>
      <c r="RO31" s="4"/>
      <c r="RR31" s="2"/>
      <c r="RT31" s="2"/>
      <c r="RU31" s="2"/>
      <c r="SA31" s="4"/>
      <c r="SC31" s="4"/>
      <c r="SN31" s="2"/>
      <c r="SQ31" s="4"/>
      <c r="SS31" s="4"/>
      <c r="TG31" s="2"/>
      <c r="TP31" s="3"/>
      <c r="TU31" s="4"/>
      <c r="TW31" s="4"/>
    </row>
    <row r="32" spans="1:543">
      <c r="A32">
        <v>2827</v>
      </c>
      <c r="B32">
        <v>6172</v>
      </c>
      <c r="C32">
        <v>5035104637</v>
      </c>
      <c r="D32" t="s">
        <v>208</v>
      </c>
      <c r="E32" t="s">
        <v>209</v>
      </c>
      <c r="F32" t="s">
        <v>210</v>
      </c>
      <c r="G32" s="2">
        <v>28963</v>
      </c>
      <c r="H32" t="s">
        <v>43</v>
      </c>
      <c r="I32" t="s">
        <v>75</v>
      </c>
      <c r="J32" t="s">
        <v>61</v>
      </c>
      <c r="K32" t="s">
        <v>211</v>
      </c>
      <c r="L32" t="s">
        <v>77</v>
      </c>
      <c r="M32" s="2">
        <v>45600</v>
      </c>
      <c r="N32" t="s">
        <v>212</v>
      </c>
      <c r="O32" s="2">
        <f>DATE(YEAR(G32) + P32, MONTH(G32), DAY(G32))</f>
        <v>53070</v>
      </c>
      <c r="P32">
        <v>66</v>
      </c>
      <c r="Q32" s="2"/>
      <c r="R32" t="s">
        <v>47</v>
      </c>
      <c r="S32" t="s">
        <v>109</v>
      </c>
      <c r="T32" s="2">
        <v>45595</v>
      </c>
      <c r="U32" t="s">
        <v>103</v>
      </c>
      <c r="V32" t="s">
        <v>39</v>
      </c>
      <c r="W32">
        <v>13</v>
      </c>
      <c r="X32" s="1">
        <v>39417</v>
      </c>
      <c r="Y32" s="1">
        <v>7883.4000000000005</v>
      </c>
      <c r="Z32" s="1">
        <v>31533.599999999999</v>
      </c>
      <c r="AA32" s="3">
        <v>252</v>
      </c>
      <c r="AK32" s="3"/>
      <c r="AM32" s="4"/>
      <c r="AO32" s="4"/>
      <c r="BA32" s="2"/>
      <c r="BB32" s="2"/>
      <c r="BD32" s="4"/>
      <c r="BM32" s="2"/>
      <c r="BO32" s="4"/>
      <c r="BQ32" s="4"/>
      <c r="CI32" s="2"/>
      <c r="CJ32" s="2"/>
      <c r="CN32" s="2"/>
      <c r="CQ32" s="2"/>
      <c r="CV32" s="4"/>
      <c r="CX32" s="4"/>
      <c r="DB32" s="2"/>
      <c r="DC32" s="2"/>
      <c r="DE32" s="2"/>
      <c r="DF32" s="2"/>
      <c r="DW32" s="2"/>
      <c r="EF32" s="4"/>
      <c r="EH32" s="4"/>
      <c r="ER32" s="2"/>
      <c r="EX32" s="4"/>
      <c r="EZ32" s="4"/>
      <c r="FQ32" s="4"/>
      <c r="FS32" s="4"/>
      <c r="GE32" s="2"/>
      <c r="GL32" s="4"/>
      <c r="GS32" s="3"/>
      <c r="GU32" s="3"/>
      <c r="GV32" s="2"/>
      <c r="GX32" s="3"/>
      <c r="GY32" s="3"/>
      <c r="HB32" s="3"/>
      <c r="HO32" s="3"/>
      <c r="HP32" s="2"/>
      <c r="HS32" s="4"/>
      <c r="HU32" s="4"/>
      <c r="IK32" s="4"/>
      <c r="IS32" s="2"/>
      <c r="IT32" s="2"/>
      <c r="IV32" s="2"/>
      <c r="IW32" s="4"/>
      <c r="IY32" s="4"/>
      <c r="JH32" s="2"/>
      <c r="JK32" s="4"/>
      <c r="JM32" s="4"/>
      <c r="JZ32" s="2"/>
      <c r="KD32" s="4"/>
      <c r="KF32" s="4"/>
      <c r="KJ32" s="4"/>
      <c r="KT32" s="2"/>
      <c r="KU32" s="2"/>
      <c r="KW32" s="2"/>
      <c r="LF32" s="2"/>
      <c r="LK32" s="2"/>
      <c r="LT32" s="4"/>
      <c r="LV32" s="4"/>
      <c r="MB32" s="3"/>
      <c r="MJ32" s="3"/>
      <c r="NB32" s="2"/>
      <c r="NC32" s="2"/>
      <c r="NJ32" s="2"/>
      <c r="NN32" s="2"/>
      <c r="NO32" s="2"/>
      <c r="NT32" s="4"/>
      <c r="OA32" s="2"/>
      <c r="OB32" s="2"/>
      <c r="ON32" s="2"/>
      <c r="OR32" s="4"/>
      <c r="PD32" s="2"/>
      <c r="PH32" s="2"/>
      <c r="PQ32" s="2"/>
      <c r="PX32" s="2"/>
      <c r="PZ32" s="2"/>
      <c r="QF32" s="4"/>
      <c r="QH32" s="4"/>
      <c r="QZ32" s="2"/>
      <c r="RA32" s="2"/>
      <c r="RN32" s="4"/>
      <c r="RO32" s="4"/>
      <c r="RT32" s="2"/>
      <c r="RU32" s="2"/>
      <c r="SA32" s="4"/>
      <c r="SC32" s="4"/>
      <c r="SN32" s="2"/>
      <c r="SQ32" s="4"/>
      <c r="SS32" s="4"/>
      <c r="TG32" s="2"/>
      <c r="TH32" s="2"/>
      <c r="TI32" s="2"/>
      <c r="TU32" s="4"/>
      <c r="TW32" s="4"/>
    </row>
    <row r="33" spans="1:543">
      <c r="A33">
        <v>1544</v>
      </c>
      <c r="B33">
        <v>5535</v>
      </c>
      <c r="C33">
        <v>3865336806</v>
      </c>
      <c r="D33" t="s">
        <v>213</v>
      </c>
      <c r="E33" t="s">
        <v>214</v>
      </c>
      <c r="F33" t="s">
        <v>215</v>
      </c>
      <c r="G33" s="2">
        <v>25537</v>
      </c>
      <c r="H33" t="s">
        <v>30</v>
      </c>
      <c r="I33" t="s">
        <v>137</v>
      </c>
      <c r="J33" t="s">
        <v>32</v>
      </c>
      <c r="K33" t="s">
        <v>216</v>
      </c>
      <c r="L33" t="s">
        <v>95</v>
      </c>
      <c r="M33" s="2"/>
      <c r="N33" t="s">
        <v>217</v>
      </c>
      <c r="O33" s="2">
        <f>DATE(YEAR(G33) + P33, MONTH(G33), DAY(G33))</f>
        <v>47817</v>
      </c>
      <c r="P33">
        <v>61</v>
      </c>
      <c r="Q33" s="2"/>
      <c r="R33" t="s">
        <v>47</v>
      </c>
      <c r="S33" t="s">
        <v>37</v>
      </c>
      <c r="T33" s="2">
        <v>42067</v>
      </c>
      <c r="U33" t="s">
        <v>49</v>
      </c>
      <c r="V33" t="s">
        <v>66</v>
      </c>
      <c r="W33">
        <v>8</v>
      </c>
      <c r="X33" s="1">
        <v>43707</v>
      </c>
      <c r="Y33" s="1">
        <v>8741.4</v>
      </c>
      <c r="Z33" s="1">
        <v>34965.599999999999</v>
      </c>
      <c r="AA33" s="3">
        <v>65</v>
      </c>
      <c r="AK33" s="3"/>
      <c r="AM33" s="4"/>
      <c r="AO33" s="4"/>
      <c r="BA33" s="2"/>
      <c r="BB33" s="2"/>
      <c r="BD33" s="4"/>
      <c r="BF33" s="4"/>
      <c r="BM33" s="2"/>
      <c r="BO33" s="4"/>
      <c r="BQ33" s="4"/>
      <c r="CH33" s="3"/>
      <c r="CI33" s="2"/>
      <c r="CJ33" s="2"/>
      <c r="CL33" s="3"/>
      <c r="CN33" s="2"/>
      <c r="CQ33" s="2"/>
      <c r="CV33" s="4"/>
      <c r="CX33" s="4"/>
      <c r="DB33" s="2"/>
      <c r="DC33" s="2"/>
      <c r="DE33" s="2"/>
      <c r="DV33" s="2"/>
      <c r="DW33" s="2"/>
      <c r="EF33" s="4"/>
      <c r="EH33" s="4"/>
      <c r="ER33" s="2"/>
      <c r="ES33" s="2"/>
      <c r="EX33" s="4"/>
      <c r="EZ33" s="4"/>
      <c r="FQ33" s="4"/>
      <c r="FS33" s="4"/>
      <c r="GE33" s="2"/>
      <c r="GJ33" s="4"/>
      <c r="GL33" s="4"/>
      <c r="GR33" s="2"/>
      <c r="GV33" s="2"/>
      <c r="GX33" s="3"/>
      <c r="GY33" s="3"/>
      <c r="HB33" s="3"/>
      <c r="HS33" s="4"/>
      <c r="HU33" s="4"/>
      <c r="II33" s="4"/>
      <c r="IK33" s="4"/>
      <c r="IS33" s="2"/>
      <c r="IT33" s="2"/>
      <c r="IV33" s="2"/>
      <c r="IW33" s="4"/>
      <c r="IY33" s="4"/>
      <c r="JH33" s="2"/>
      <c r="JK33" s="4"/>
      <c r="JM33" s="4"/>
      <c r="JZ33" s="2"/>
      <c r="KA33" s="3"/>
      <c r="KC33" s="3"/>
      <c r="KD33" s="4"/>
      <c r="KJ33" s="4"/>
      <c r="KT33" s="2"/>
      <c r="KU33" s="2"/>
      <c r="KW33" s="2"/>
      <c r="LC33" s="2"/>
      <c r="LF33" s="2"/>
      <c r="LK33" s="2"/>
      <c r="LT33" s="4"/>
      <c r="LV33" s="4"/>
      <c r="NB33" s="2"/>
      <c r="NC33" s="2"/>
      <c r="NG33" s="5"/>
      <c r="NJ33" s="2"/>
      <c r="NN33" s="2"/>
      <c r="NO33" s="2"/>
      <c r="NP33" s="3"/>
      <c r="NV33" s="4"/>
      <c r="OA33" s="2"/>
      <c r="OB33" s="2"/>
      <c r="ON33" s="2"/>
      <c r="OR33" s="4"/>
      <c r="PD33" s="2"/>
      <c r="PH33" s="2"/>
      <c r="PQ33" s="2"/>
      <c r="PX33" s="2"/>
      <c r="PZ33" s="2"/>
      <c r="QF33" s="4"/>
      <c r="QH33" s="4"/>
      <c r="QZ33" s="2"/>
      <c r="RA33" s="2"/>
      <c r="RN33" s="4"/>
      <c r="RO33" s="4"/>
      <c r="RR33" s="2"/>
      <c r="RT33" s="2"/>
      <c r="SA33" s="4"/>
      <c r="SC33" s="4"/>
      <c r="SN33" s="2"/>
      <c r="SQ33" s="4"/>
      <c r="SS33" s="4"/>
      <c r="TG33" s="2"/>
      <c r="TH33" s="2"/>
      <c r="TI33" s="2"/>
      <c r="TU33" s="4"/>
      <c r="TW33" s="4"/>
    </row>
    <row r="34" spans="1:543">
      <c r="A34">
        <v>391</v>
      </c>
      <c r="B34">
        <v>4098</v>
      </c>
      <c r="C34">
        <v>9256227341</v>
      </c>
      <c r="D34" t="s">
        <v>185</v>
      </c>
      <c r="E34" t="s">
        <v>218</v>
      </c>
      <c r="F34" t="s">
        <v>219</v>
      </c>
      <c r="G34" s="2">
        <v>40496</v>
      </c>
      <c r="H34" t="s">
        <v>43</v>
      </c>
      <c r="I34" t="s">
        <v>60</v>
      </c>
      <c r="J34" t="s">
        <v>32</v>
      </c>
      <c r="K34" t="s">
        <v>220</v>
      </c>
      <c r="L34" t="s">
        <v>95</v>
      </c>
      <c r="M34" s="2"/>
      <c r="N34" t="s">
        <v>221</v>
      </c>
      <c r="O34" s="2">
        <f>DATE(YEAR(G34) + P34, MONTH(G34), DAY(G34))</f>
        <v>65698</v>
      </c>
      <c r="P34">
        <v>69</v>
      </c>
      <c r="Q34" s="2"/>
      <c r="R34" t="s">
        <v>47</v>
      </c>
      <c r="S34" t="s">
        <v>109</v>
      </c>
      <c r="T34" s="2">
        <v>45200</v>
      </c>
      <c r="U34" t="s">
        <v>49</v>
      </c>
      <c r="V34" t="s">
        <v>38</v>
      </c>
      <c r="W34">
        <v>8</v>
      </c>
      <c r="X34" s="1">
        <v>66910</v>
      </c>
      <c r="Y34" s="1">
        <v>13382</v>
      </c>
      <c r="Z34" s="1">
        <v>53528</v>
      </c>
      <c r="AA34" s="3">
        <v>191</v>
      </c>
      <c r="AK34" s="3"/>
      <c r="AM34" s="4"/>
      <c r="AO34" s="4"/>
      <c r="BA34" s="2"/>
      <c r="BB34" s="2"/>
      <c r="BD34" s="4"/>
      <c r="BF34" s="4"/>
      <c r="BM34" s="2"/>
      <c r="BO34" s="4"/>
      <c r="CI34" s="2"/>
      <c r="CJ34" s="2"/>
      <c r="CL34" s="3"/>
      <c r="CN34" s="2"/>
      <c r="CQ34" s="2"/>
      <c r="CV34" s="4"/>
      <c r="CX34" s="4"/>
      <c r="DC34" s="2"/>
      <c r="DE34" s="2"/>
      <c r="DF34" s="2"/>
      <c r="DV34" s="2"/>
      <c r="DW34" s="2"/>
      <c r="EF34" s="4"/>
      <c r="EH34" s="4"/>
      <c r="ES34" s="2"/>
      <c r="EU34" s="3"/>
      <c r="EX34" s="4"/>
      <c r="EZ34" s="4"/>
      <c r="FQ34" s="4"/>
      <c r="FS34" s="4"/>
      <c r="GE34" s="2"/>
      <c r="GJ34" s="4"/>
      <c r="GR34" s="2"/>
      <c r="GS34" s="3"/>
      <c r="GX34" s="3"/>
      <c r="HB34" s="3"/>
      <c r="HN34" s="3"/>
      <c r="HP34" s="2"/>
      <c r="HQ34" s="3"/>
      <c r="HS34" s="4"/>
      <c r="HU34" s="4"/>
      <c r="II34" s="4"/>
      <c r="IK34" s="4"/>
      <c r="IS34" s="2"/>
      <c r="IT34" s="2"/>
      <c r="IV34" s="2"/>
      <c r="JH34" s="2"/>
      <c r="JK34" s="4"/>
      <c r="JM34" s="4"/>
      <c r="JZ34" s="2"/>
      <c r="KD34" s="4"/>
      <c r="KJ34" s="4"/>
      <c r="KT34" s="2"/>
      <c r="KU34" s="2"/>
      <c r="KW34" s="2"/>
      <c r="LC34" s="2"/>
      <c r="LF34" s="2"/>
      <c r="LH34" s="3"/>
      <c r="LK34" s="2"/>
      <c r="LT34" s="4"/>
      <c r="LV34" s="4"/>
      <c r="NB34" s="2"/>
      <c r="NC34" s="2"/>
      <c r="NJ34" s="2"/>
      <c r="NN34" s="2"/>
      <c r="NO34" s="2"/>
      <c r="NT34" s="4"/>
      <c r="NV34" s="4"/>
      <c r="OA34" s="2"/>
      <c r="OB34" s="2"/>
      <c r="ON34" s="2"/>
      <c r="OR34" s="4"/>
      <c r="OT34" s="4"/>
      <c r="PD34" s="2"/>
      <c r="PH34" s="2"/>
      <c r="PI34" s="3"/>
      <c r="PQ34" s="2"/>
      <c r="PX34" s="2"/>
      <c r="PZ34" s="2"/>
      <c r="QH34" s="4"/>
      <c r="RA34" s="2"/>
      <c r="RM34" s="3"/>
      <c r="RO34" s="4"/>
      <c r="RR34" s="2"/>
      <c r="RT34" s="2"/>
      <c r="RU34" s="2"/>
      <c r="SA34" s="4"/>
      <c r="SN34" s="2"/>
      <c r="SQ34" s="4"/>
      <c r="TG34" s="2"/>
      <c r="TH34" s="2"/>
      <c r="TI34" s="2"/>
      <c r="TU34" s="4"/>
      <c r="TW34" s="4"/>
    </row>
    <row r="35" spans="1:543">
      <c r="A35">
        <v>767</v>
      </c>
      <c r="B35">
        <v>7930</v>
      </c>
      <c r="C35">
        <v>6106353421</v>
      </c>
      <c r="D35" t="s">
        <v>222</v>
      </c>
      <c r="E35" t="s">
        <v>223</v>
      </c>
      <c r="F35" t="s">
        <v>224</v>
      </c>
      <c r="G35" s="2">
        <v>40267</v>
      </c>
      <c r="H35" t="s">
        <v>30</v>
      </c>
      <c r="I35" t="s">
        <v>137</v>
      </c>
      <c r="J35" t="s">
        <v>32</v>
      </c>
      <c r="K35" t="s">
        <v>225</v>
      </c>
      <c r="L35" t="s">
        <v>95</v>
      </c>
      <c r="M35" s="2"/>
      <c r="N35" t="s">
        <v>226</v>
      </c>
      <c r="O35" s="2">
        <f>DATE(YEAR(G35) + P35, MONTH(G35), DAY(G35))</f>
        <v>64008</v>
      </c>
      <c r="P35">
        <v>65</v>
      </c>
      <c r="Q35" s="2">
        <v>40117</v>
      </c>
      <c r="R35" t="s">
        <v>36</v>
      </c>
      <c r="S35" t="s">
        <v>37</v>
      </c>
      <c r="T35" s="2">
        <v>27753</v>
      </c>
      <c r="U35" t="s">
        <v>103</v>
      </c>
      <c r="V35" t="s">
        <v>38</v>
      </c>
      <c r="W35">
        <v>22</v>
      </c>
      <c r="X35" s="1">
        <v>52454</v>
      </c>
      <c r="Y35" s="1">
        <v>10490.800000000001</v>
      </c>
      <c r="Z35" s="1">
        <v>41963.199999999997</v>
      </c>
      <c r="AA35" s="3">
        <v>608</v>
      </c>
      <c r="AK35" s="3"/>
      <c r="AM35" s="4"/>
      <c r="BA35" s="2"/>
      <c r="BB35" s="2"/>
      <c r="BD35" s="4"/>
      <c r="BF35" s="4"/>
      <c r="BM35" s="2"/>
      <c r="BO35" s="4"/>
      <c r="BQ35" s="4"/>
      <c r="CI35" s="2"/>
      <c r="CJ35" s="2"/>
      <c r="CN35" s="2"/>
      <c r="CQ35" s="2"/>
      <c r="CV35" s="4"/>
      <c r="CZ35" s="3"/>
      <c r="DB35" s="2"/>
      <c r="DC35" s="2"/>
      <c r="DF35" s="2"/>
      <c r="DV35" s="2"/>
      <c r="DW35" s="2"/>
      <c r="EF35" s="4"/>
      <c r="EH35" s="4"/>
      <c r="ES35" s="2"/>
      <c r="EX35" s="4"/>
      <c r="EZ35" s="4"/>
      <c r="FQ35" s="4"/>
      <c r="FS35" s="4"/>
      <c r="GE35" s="2"/>
      <c r="GJ35" s="4"/>
      <c r="GL35" s="4"/>
      <c r="GR35" s="2"/>
      <c r="GS35" s="3"/>
      <c r="GT35" s="3"/>
      <c r="GV35" s="2"/>
      <c r="GW35" s="3"/>
      <c r="IK35" s="4"/>
      <c r="IS35" s="2"/>
      <c r="IT35" s="2"/>
      <c r="IV35" s="2"/>
      <c r="IW35" s="4"/>
      <c r="IY35" s="4"/>
      <c r="JH35" s="2"/>
      <c r="JM35" s="4"/>
      <c r="JZ35" s="2"/>
      <c r="KD35" s="4"/>
      <c r="KF35" s="4"/>
      <c r="KJ35" s="4"/>
      <c r="KT35" s="2"/>
      <c r="KU35" s="2"/>
      <c r="KW35" s="2"/>
      <c r="LC35" s="2"/>
      <c r="LF35" s="2"/>
      <c r="LK35" s="2"/>
      <c r="LT35" s="4"/>
      <c r="LV35" s="4"/>
      <c r="MC35" s="3"/>
      <c r="NB35" s="2"/>
      <c r="NC35" s="2"/>
      <c r="NJ35" s="2"/>
      <c r="NN35" s="2"/>
      <c r="NO35" s="2"/>
      <c r="NP35" s="3"/>
      <c r="NT35" s="4"/>
      <c r="NV35" s="4"/>
      <c r="OA35" s="2"/>
      <c r="OB35" s="2"/>
      <c r="ON35" s="2"/>
      <c r="OR35" s="4"/>
      <c r="OT35" s="4"/>
      <c r="PD35" s="2"/>
      <c r="PQ35" s="2"/>
      <c r="PX35" s="2"/>
      <c r="PZ35" s="2"/>
      <c r="QF35" s="4"/>
      <c r="QH35" s="4"/>
      <c r="QX35" s="3"/>
      <c r="QZ35" s="2"/>
      <c r="RA35" s="2"/>
      <c r="RN35" s="4"/>
      <c r="RO35" s="4"/>
      <c r="RR35" s="2"/>
      <c r="RT35" s="2"/>
      <c r="RU35" s="2"/>
      <c r="SA35" s="4"/>
      <c r="SC35" s="4"/>
      <c r="SN35" s="2"/>
      <c r="SQ35" s="4"/>
      <c r="SS35" s="4"/>
      <c r="TG35" s="2"/>
      <c r="TH35" s="2"/>
      <c r="TI35" s="2"/>
      <c r="TU35" s="4"/>
      <c r="TW35" s="4"/>
    </row>
    <row r="36" spans="1:543">
      <c r="A36">
        <v>8923</v>
      </c>
      <c r="B36">
        <v>8935</v>
      </c>
      <c r="C36" s="3" t="s">
        <v>227</v>
      </c>
      <c r="D36" t="s">
        <v>228</v>
      </c>
      <c r="E36" t="s">
        <v>229</v>
      </c>
      <c r="F36" t="s">
        <v>230</v>
      </c>
      <c r="G36" s="2">
        <v>39667</v>
      </c>
      <c r="H36" t="s">
        <v>43</v>
      </c>
      <c r="I36" t="s">
        <v>31</v>
      </c>
      <c r="J36" t="s">
        <v>61</v>
      </c>
      <c r="K36" t="s">
        <v>231</v>
      </c>
      <c r="L36" t="s">
        <v>77</v>
      </c>
      <c r="M36" s="2">
        <v>35063</v>
      </c>
      <c r="N36" t="s">
        <v>232</v>
      </c>
      <c r="O36" s="2">
        <f>DATE(YEAR(G36) + P36, MONTH(G36), DAY(G36))</f>
        <v>63773</v>
      </c>
      <c r="P36">
        <v>66</v>
      </c>
      <c r="Q36" s="2"/>
      <c r="R36" t="s">
        <v>47</v>
      </c>
      <c r="S36" t="s">
        <v>48</v>
      </c>
      <c r="T36" s="2">
        <v>34249</v>
      </c>
      <c r="U36" t="s">
        <v>65</v>
      </c>
      <c r="V36" t="s">
        <v>56</v>
      </c>
      <c r="W36">
        <v>22</v>
      </c>
      <c r="X36" s="1">
        <v>41697</v>
      </c>
      <c r="Y36" s="1">
        <v>8339.4</v>
      </c>
      <c r="Z36" s="1">
        <v>33357.599999999999</v>
      </c>
      <c r="AA36" s="3">
        <v>256</v>
      </c>
      <c r="AK36" s="3"/>
      <c r="AM36" s="4"/>
      <c r="AO36" s="4"/>
      <c r="BA36" s="2"/>
      <c r="BB36" s="2"/>
      <c r="BD36" s="4"/>
      <c r="BF36" s="4"/>
      <c r="BM36" s="2"/>
      <c r="BO36" s="4"/>
      <c r="CI36" s="2"/>
      <c r="CJ36" s="2"/>
      <c r="CN36" s="2"/>
      <c r="CQ36" s="2"/>
      <c r="CV36" s="4"/>
      <c r="CX36" s="4"/>
      <c r="DB36" s="2"/>
      <c r="DC36" s="2"/>
      <c r="DE36" s="2"/>
      <c r="DF36" s="2"/>
      <c r="DV36" s="2"/>
      <c r="DW36" s="2"/>
      <c r="EF36" s="4"/>
      <c r="EH36" s="4"/>
      <c r="ER36" s="2"/>
      <c r="ES36" s="2"/>
      <c r="EX36" s="4"/>
      <c r="EZ36" s="4"/>
      <c r="FQ36" s="4"/>
      <c r="FS36" s="4"/>
      <c r="GE36" s="2"/>
      <c r="GJ36" s="4"/>
      <c r="GL36" s="4"/>
      <c r="GR36" s="2"/>
      <c r="GV36" s="2"/>
      <c r="GY36" s="3"/>
      <c r="HB36" s="3"/>
      <c r="HP36" s="2"/>
      <c r="HU36" s="4"/>
      <c r="II36" s="4"/>
      <c r="IK36" s="4"/>
      <c r="IS36" s="2"/>
      <c r="IT36" s="2"/>
      <c r="IV36" s="2"/>
      <c r="IW36" s="4"/>
      <c r="IY36" s="4"/>
      <c r="JH36" s="2"/>
      <c r="JK36" s="4"/>
      <c r="JM36" s="4"/>
      <c r="JZ36" s="2"/>
      <c r="KD36" s="4"/>
      <c r="KF36" s="4"/>
      <c r="KJ36" s="4"/>
      <c r="KT36" s="2"/>
      <c r="KU36" s="2"/>
      <c r="KW36" s="2"/>
      <c r="LC36" s="2"/>
      <c r="LF36" s="2"/>
      <c r="LK36" s="2"/>
      <c r="LT36" s="4"/>
      <c r="LV36" s="4"/>
      <c r="NB36" s="2"/>
      <c r="NC36" s="2"/>
      <c r="NH36" s="3"/>
      <c r="NJ36" s="2"/>
      <c r="NN36" s="2"/>
      <c r="NT36" s="4"/>
      <c r="NV36" s="4"/>
      <c r="OA36" s="2"/>
      <c r="OB36" s="2"/>
      <c r="ON36" s="2"/>
      <c r="OR36" s="4"/>
      <c r="OT36" s="4"/>
      <c r="PD36" s="2"/>
      <c r="PH36" s="2"/>
      <c r="PK36" s="3"/>
      <c r="PQ36" s="2"/>
      <c r="PX36" s="2"/>
      <c r="PZ36" s="2"/>
      <c r="QF36" s="4"/>
      <c r="QH36" s="4"/>
      <c r="QZ36" s="2"/>
      <c r="RA36" s="2"/>
      <c r="RN36" s="4"/>
      <c r="RO36" s="4"/>
      <c r="RR36" s="2"/>
      <c r="RT36" s="2"/>
      <c r="RU36" s="2"/>
      <c r="SA36" s="4"/>
      <c r="SC36" s="4"/>
      <c r="SM36" s="3"/>
      <c r="SN36" s="2"/>
      <c r="SQ36" s="4"/>
      <c r="SS36" s="4"/>
      <c r="TG36" s="2"/>
      <c r="TH36" s="2"/>
      <c r="TI36" s="2"/>
      <c r="TN36" s="3"/>
      <c r="TU36" s="4"/>
      <c r="TW36" s="4"/>
    </row>
    <row r="37" spans="1:543">
      <c r="A37">
        <v>5327</v>
      </c>
      <c r="B37">
        <v>4754</v>
      </c>
      <c r="C37">
        <v>5673878387</v>
      </c>
      <c r="D37" t="s">
        <v>233</v>
      </c>
      <c r="E37" t="s">
        <v>234</v>
      </c>
      <c r="F37" t="s">
        <v>235</v>
      </c>
      <c r="G37" s="2"/>
      <c r="H37" t="s">
        <v>43</v>
      </c>
      <c r="I37" t="s">
        <v>236</v>
      </c>
      <c r="J37" t="s">
        <v>61</v>
      </c>
      <c r="K37" t="s">
        <v>237</v>
      </c>
      <c r="L37" t="s">
        <v>77</v>
      </c>
      <c r="M37" s="2">
        <v>34189</v>
      </c>
      <c r="N37" t="s">
        <v>238</v>
      </c>
      <c r="O37" s="2">
        <f>DATE(YEAR(G37) + P37, MONTH(G37), DAY(G37))</f>
        <v>22281</v>
      </c>
      <c r="P37">
        <v>61</v>
      </c>
      <c r="Q37" s="2">
        <v>42682</v>
      </c>
      <c r="R37" t="s">
        <v>36</v>
      </c>
      <c r="S37" t="s">
        <v>48</v>
      </c>
      <c r="T37" s="2">
        <v>45201</v>
      </c>
      <c r="U37" t="s">
        <v>38</v>
      </c>
      <c r="V37" t="s">
        <v>39</v>
      </c>
      <c r="W37">
        <v>26</v>
      </c>
      <c r="X37" s="1">
        <v>3604</v>
      </c>
      <c r="Y37" s="1">
        <v>720.80000000000007</v>
      </c>
      <c r="Z37" s="1">
        <v>2883.2</v>
      </c>
      <c r="AA37" s="3">
        <v>158</v>
      </c>
      <c r="AK37" s="3"/>
      <c r="AM37" s="4"/>
      <c r="AO37" s="4"/>
      <c r="BA37" s="2"/>
      <c r="BB37" s="2"/>
      <c r="BD37" s="4"/>
      <c r="BF37" s="4"/>
      <c r="BM37" s="2"/>
      <c r="BO37" s="4"/>
      <c r="BQ37" s="4"/>
      <c r="CI37" s="2"/>
      <c r="CJ37" s="2"/>
      <c r="CM37" s="3"/>
      <c r="CN37" s="2"/>
      <c r="CQ37" s="2"/>
      <c r="CV37" s="4"/>
      <c r="CX37" s="4"/>
      <c r="DB37" s="2"/>
      <c r="DC37" s="2"/>
      <c r="DE37" s="2"/>
      <c r="DF37" s="2"/>
      <c r="DW37" s="2"/>
      <c r="EF37" s="4"/>
      <c r="EH37" s="4"/>
      <c r="ER37" s="2"/>
      <c r="ES37" s="2"/>
      <c r="EX37" s="4"/>
      <c r="EZ37" s="4"/>
      <c r="FQ37" s="4"/>
      <c r="FS37" s="4"/>
      <c r="GD37" s="3"/>
      <c r="GE37" s="2"/>
      <c r="GG37" s="3"/>
      <c r="GJ37" s="4"/>
      <c r="GL37" s="4"/>
      <c r="GR37" s="2"/>
      <c r="GT37" s="3"/>
      <c r="GU37" s="3"/>
      <c r="GV37" s="2"/>
      <c r="GX37" s="3"/>
      <c r="HB37" s="3"/>
      <c r="HP37" s="2"/>
      <c r="HS37" s="4"/>
      <c r="HU37" s="4"/>
      <c r="II37" s="4"/>
      <c r="IK37" s="4"/>
      <c r="IS37" s="2"/>
      <c r="IT37" s="2"/>
      <c r="IV37" s="2"/>
      <c r="IW37" s="4"/>
      <c r="IY37" s="4"/>
      <c r="JH37" s="2"/>
      <c r="JM37" s="4"/>
      <c r="JZ37" s="2"/>
      <c r="KA37" s="3"/>
      <c r="KD37" s="4"/>
      <c r="KF37" s="4"/>
      <c r="KI37" s="3"/>
      <c r="KJ37" s="4"/>
      <c r="KT37" s="2"/>
      <c r="KU37" s="2"/>
      <c r="KW37" s="2"/>
      <c r="LC37" s="2"/>
      <c r="LF37" s="2"/>
      <c r="LK37" s="2"/>
      <c r="LT37" s="4"/>
      <c r="LV37" s="4"/>
      <c r="MI37" s="3"/>
      <c r="NB37" s="2"/>
      <c r="NC37" s="2"/>
      <c r="NJ37" s="2"/>
      <c r="NO37" s="2"/>
      <c r="NT37" s="4"/>
      <c r="NV37" s="4"/>
      <c r="OA37" s="2"/>
      <c r="OB37" s="2"/>
      <c r="ON37" s="2"/>
      <c r="OR37" s="4"/>
      <c r="PD37" s="2"/>
      <c r="PQ37" s="2"/>
      <c r="PX37" s="2"/>
      <c r="PZ37" s="2"/>
      <c r="QF37" s="4"/>
      <c r="QH37" s="4"/>
      <c r="QZ37" s="2"/>
      <c r="RA37" s="2"/>
      <c r="RN37" s="4"/>
      <c r="RO37" s="4"/>
      <c r="RR37" s="2"/>
      <c r="RT37" s="2"/>
      <c r="RU37" s="2"/>
      <c r="SA37" s="4"/>
      <c r="SC37" s="4"/>
      <c r="SN37" s="2"/>
      <c r="SQ37" s="4"/>
      <c r="SS37" s="4"/>
      <c r="TG37" s="2"/>
      <c r="TH37" s="2"/>
      <c r="TI37" s="2"/>
      <c r="TP37" s="3"/>
      <c r="TU37" s="4"/>
      <c r="TW37" s="4"/>
    </row>
    <row r="38" spans="1:543">
      <c r="A38">
        <v>5778</v>
      </c>
      <c r="B38">
        <v>4510</v>
      </c>
      <c r="C38">
        <v>4917801538</v>
      </c>
      <c r="D38" t="s">
        <v>72</v>
      </c>
      <c r="E38" t="s">
        <v>239</v>
      </c>
      <c r="F38" t="s">
        <v>240</v>
      </c>
      <c r="G38" s="2">
        <v>36738</v>
      </c>
      <c r="H38" t="s">
        <v>43</v>
      </c>
      <c r="I38" t="s">
        <v>70</v>
      </c>
      <c r="J38" t="s">
        <v>32</v>
      </c>
      <c r="K38" t="s">
        <v>241</v>
      </c>
      <c r="L38" t="s">
        <v>34</v>
      </c>
      <c r="M38" s="2"/>
      <c r="N38" t="s">
        <v>242</v>
      </c>
      <c r="O38" s="2">
        <f>DATE(YEAR(G38) + P38, MONTH(G38), DAY(G38))</f>
        <v>59018</v>
      </c>
      <c r="P38">
        <v>61</v>
      </c>
      <c r="Q38" s="2">
        <v>41908</v>
      </c>
      <c r="R38" t="s">
        <v>36</v>
      </c>
      <c r="S38" t="s">
        <v>181</v>
      </c>
      <c r="T38" s="2">
        <v>22677</v>
      </c>
      <c r="U38" t="s">
        <v>49</v>
      </c>
      <c r="V38" t="s">
        <v>38</v>
      </c>
      <c r="W38">
        <v>24</v>
      </c>
      <c r="X38" s="1">
        <v>38996</v>
      </c>
      <c r="Y38" s="1">
        <v>7799.2000000000007</v>
      </c>
      <c r="Z38" s="1">
        <v>31196.799999999999</v>
      </c>
      <c r="AA38" s="3">
        <v>854</v>
      </c>
      <c r="AK38" s="3"/>
      <c r="AM38" s="4"/>
      <c r="AO38" s="4"/>
      <c r="BA38" s="2"/>
      <c r="BB38" s="2"/>
      <c r="BD38" s="4"/>
      <c r="BF38" s="4"/>
      <c r="BM38" s="2"/>
      <c r="BO38" s="4"/>
      <c r="BQ38" s="4"/>
      <c r="CI38" s="2"/>
      <c r="CJ38" s="2"/>
      <c r="CN38" s="2"/>
      <c r="CQ38" s="2"/>
      <c r="CV38" s="4"/>
      <c r="CX38" s="4"/>
      <c r="DB38" s="2"/>
      <c r="DC38" s="2"/>
      <c r="DE38" s="2"/>
      <c r="DV38" s="2"/>
      <c r="DW38" s="2"/>
      <c r="EF38" s="4"/>
      <c r="EH38" s="4"/>
      <c r="ER38" s="2"/>
      <c r="ES38" s="2"/>
      <c r="EX38" s="4"/>
      <c r="EZ38" s="4"/>
      <c r="FQ38" s="4"/>
      <c r="FS38" s="4"/>
      <c r="GE38" s="2"/>
      <c r="GJ38" s="4"/>
      <c r="GL38" s="4"/>
      <c r="GR38" s="2"/>
      <c r="GT38" s="3"/>
      <c r="GV38" s="2"/>
      <c r="GX38" s="3"/>
      <c r="HB38" s="3"/>
      <c r="HP38" s="2"/>
      <c r="HS38" s="4"/>
      <c r="HU38" s="4"/>
      <c r="IF38" s="3"/>
      <c r="II38" s="4"/>
      <c r="IK38" s="4"/>
      <c r="IS38" s="2"/>
      <c r="IT38" s="2"/>
      <c r="IV38" s="2"/>
      <c r="IW38" s="4"/>
      <c r="IY38" s="4"/>
      <c r="JH38" s="2"/>
      <c r="JK38" s="4"/>
      <c r="JM38" s="4"/>
      <c r="JZ38" s="2"/>
      <c r="KD38" s="4"/>
      <c r="KF38" s="4"/>
      <c r="KJ38" s="4"/>
      <c r="KU38" s="2"/>
      <c r="KW38" s="2"/>
      <c r="LC38" s="2"/>
      <c r="LF38" s="2"/>
      <c r="LK38" s="2"/>
      <c r="LT38" s="4"/>
      <c r="LV38" s="4"/>
      <c r="NB38" s="2"/>
      <c r="NC38" s="2"/>
      <c r="NJ38" s="2"/>
      <c r="NN38" s="2"/>
      <c r="NO38" s="2"/>
      <c r="NT38" s="4"/>
      <c r="NV38" s="4"/>
      <c r="OB38" s="2"/>
      <c r="OR38" s="4"/>
      <c r="OT38" s="4"/>
      <c r="PD38" s="2"/>
      <c r="PH38" s="2"/>
      <c r="PQ38" s="2"/>
      <c r="PX38" s="2"/>
      <c r="PZ38" s="2"/>
      <c r="QF38" s="4"/>
      <c r="QH38" s="4"/>
      <c r="QZ38" s="2"/>
      <c r="RA38" s="2"/>
      <c r="RN38" s="4"/>
      <c r="RO38" s="4"/>
      <c r="RR38" s="2"/>
      <c r="RT38" s="2"/>
      <c r="RU38" s="2"/>
      <c r="SA38" s="4"/>
      <c r="SC38" s="4"/>
      <c r="SM38" s="3"/>
      <c r="SN38" s="2"/>
      <c r="SS38" s="4"/>
      <c r="TG38" s="2"/>
      <c r="TH38" s="2"/>
      <c r="TI38" s="2"/>
      <c r="TU38" s="4"/>
      <c r="TW38" s="4"/>
    </row>
    <row r="39" spans="1:543">
      <c r="A39">
        <v>3609</v>
      </c>
      <c r="B39">
        <v>1366</v>
      </c>
      <c r="C39">
        <v>5410296920</v>
      </c>
      <c r="D39" t="s">
        <v>243</v>
      </c>
      <c r="E39" t="s">
        <v>244</v>
      </c>
      <c r="F39" t="s">
        <v>245</v>
      </c>
      <c r="G39" s="2">
        <v>29459</v>
      </c>
      <c r="H39" t="s">
        <v>43</v>
      </c>
      <c r="I39" t="s">
        <v>60</v>
      </c>
      <c r="J39" t="s">
        <v>32</v>
      </c>
      <c r="K39" t="s">
        <v>246</v>
      </c>
      <c r="L39" t="s">
        <v>34</v>
      </c>
      <c r="M39" s="2"/>
      <c r="N39" t="s">
        <v>247</v>
      </c>
      <c r="O39" s="2">
        <f>DATE(YEAR(G39) + P39, MONTH(G39), DAY(G39))</f>
        <v>52469</v>
      </c>
      <c r="P39">
        <v>63</v>
      </c>
      <c r="Q39" s="2"/>
      <c r="R39" t="s">
        <v>47</v>
      </c>
      <c r="S39" t="s">
        <v>109</v>
      </c>
      <c r="T39" s="2">
        <v>44897</v>
      </c>
      <c r="U39" t="s">
        <v>38</v>
      </c>
      <c r="V39" t="s">
        <v>38</v>
      </c>
      <c r="W39">
        <v>24</v>
      </c>
      <c r="X39" s="1">
        <v>17507</v>
      </c>
      <c r="Y39" s="1">
        <v>3501.4</v>
      </c>
      <c r="Z39" s="1">
        <v>14005.6</v>
      </c>
      <c r="AA39" s="3">
        <v>20</v>
      </c>
      <c r="AB39" s="3"/>
      <c r="AJ39" s="3"/>
      <c r="AK39" s="3"/>
      <c r="AM39" s="4"/>
      <c r="AO39" s="4"/>
      <c r="BA39" s="2"/>
      <c r="BB39" s="2"/>
      <c r="BD39" s="4"/>
      <c r="BF39" s="4"/>
      <c r="BM39" s="2"/>
      <c r="BO39" s="4"/>
      <c r="BQ39" s="4"/>
      <c r="CI39" s="2"/>
      <c r="CJ39" s="2"/>
      <c r="CN39" s="2"/>
      <c r="CQ39" s="2"/>
      <c r="CX39" s="4"/>
      <c r="DC39" s="2"/>
      <c r="DE39" s="2"/>
      <c r="DF39" s="2"/>
      <c r="DV39" s="2"/>
      <c r="DW39" s="2"/>
      <c r="EF39" s="4"/>
      <c r="EH39" s="4"/>
      <c r="ER39" s="2"/>
      <c r="ES39" s="2"/>
      <c r="EX39" s="4"/>
      <c r="EZ39" s="4"/>
      <c r="FQ39" s="4"/>
      <c r="FS39" s="4"/>
      <c r="GJ39" s="4"/>
      <c r="GL39" s="4"/>
      <c r="GR39" s="2"/>
      <c r="GT39" s="3"/>
      <c r="GU39" s="3"/>
      <c r="GV39" s="2"/>
      <c r="GX39" s="3"/>
      <c r="HP39" s="2"/>
      <c r="HS39" s="4"/>
      <c r="HU39" s="4"/>
      <c r="II39" s="4"/>
      <c r="IK39" s="4"/>
      <c r="IS39" s="2"/>
      <c r="IT39" s="2"/>
      <c r="IV39" s="2"/>
      <c r="IW39" s="4"/>
      <c r="IY39" s="4"/>
      <c r="JH39" s="2"/>
      <c r="JK39" s="4"/>
      <c r="JM39" s="4"/>
      <c r="JZ39" s="2"/>
      <c r="KD39" s="4"/>
      <c r="KF39" s="4"/>
      <c r="KJ39" s="4"/>
      <c r="KT39" s="2"/>
      <c r="KU39" s="2"/>
      <c r="LC39" s="2"/>
      <c r="LF39" s="2"/>
      <c r="LK39" s="2"/>
      <c r="LT39" s="4"/>
      <c r="LV39" s="4"/>
      <c r="ML39" s="3"/>
      <c r="MN39" s="5"/>
      <c r="NB39" s="2"/>
      <c r="NJ39" s="2"/>
      <c r="NN39" s="2"/>
      <c r="NO39" s="2"/>
      <c r="NT39" s="4"/>
      <c r="NV39" s="4"/>
      <c r="OA39" s="2"/>
      <c r="OB39" s="2"/>
      <c r="ON39" s="2"/>
      <c r="OR39" s="4"/>
      <c r="OT39" s="4"/>
      <c r="PD39" s="2"/>
      <c r="PH39" s="2"/>
      <c r="PQ39" s="2"/>
      <c r="PX39" s="2"/>
      <c r="PZ39" s="2"/>
      <c r="QF39" s="4"/>
      <c r="QH39" s="4"/>
      <c r="QJ39" s="3"/>
      <c r="QZ39" s="2"/>
      <c r="RA39" s="2"/>
      <c r="RN39" s="4"/>
      <c r="RO39" s="4"/>
      <c r="RR39" s="2"/>
      <c r="RT39" s="2"/>
      <c r="RU39" s="2"/>
      <c r="SA39" s="4"/>
      <c r="SC39" s="4"/>
      <c r="SQ39" s="4"/>
      <c r="SS39" s="4"/>
      <c r="TG39" s="2"/>
      <c r="TH39" s="2"/>
      <c r="TI39" s="2"/>
      <c r="TU39" s="4"/>
    </row>
    <row r="40" spans="1:543">
      <c r="A40">
        <v>5816</v>
      </c>
      <c r="B40">
        <v>3727</v>
      </c>
      <c r="C40" s="3" t="s">
        <v>248</v>
      </c>
      <c r="D40" t="s">
        <v>50</v>
      </c>
      <c r="E40" t="s">
        <v>249</v>
      </c>
      <c r="F40" t="s">
        <v>250</v>
      </c>
      <c r="G40" s="2">
        <v>26267</v>
      </c>
      <c r="H40" t="s">
        <v>30</v>
      </c>
      <c r="I40" t="s">
        <v>130</v>
      </c>
      <c r="J40" t="s">
        <v>32</v>
      </c>
      <c r="K40" t="s">
        <v>251</v>
      </c>
      <c r="L40" t="s">
        <v>77</v>
      </c>
      <c r="M40" s="2"/>
      <c r="N40" t="s">
        <v>252</v>
      </c>
      <c r="O40" s="2">
        <f>DATE(YEAR(G40) + P40, MONTH(G40), DAY(G40))</f>
        <v>48548</v>
      </c>
      <c r="P40">
        <v>61</v>
      </c>
      <c r="Q40" s="2"/>
      <c r="R40" t="s">
        <v>47</v>
      </c>
      <c r="S40" t="s">
        <v>48</v>
      </c>
      <c r="T40" s="2">
        <v>28412</v>
      </c>
      <c r="U40" t="s">
        <v>38</v>
      </c>
      <c r="V40" t="s">
        <v>39</v>
      </c>
      <c r="W40">
        <v>22</v>
      </c>
      <c r="X40" s="1">
        <v>24650</v>
      </c>
      <c r="Y40" s="1">
        <v>4930</v>
      </c>
      <c r="Z40" s="1">
        <v>19720</v>
      </c>
      <c r="AA40" s="3">
        <v>531</v>
      </c>
      <c r="AK40" s="3"/>
      <c r="AM40" s="4"/>
      <c r="AO40" s="4"/>
      <c r="BA40" s="2"/>
      <c r="BB40" s="2"/>
      <c r="BD40" s="4"/>
      <c r="BF40" s="4"/>
      <c r="BM40" s="2"/>
      <c r="BO40" s="4"/>
      <c r="CI40" s="2"/>
      <c r="CN40" s="2"/>
      <c r="CQ40" s="2"/>
      <c r="CV40" s="4"/>
      <c r="CX40" s="4"/>
      <c r="DB40" s="2"/>
      <c r="DC40" s="2"/>
      <c r="DE40" s="2"/>
      <c r="DF40" s="2"/>
      <c r="DV40" s="2"/>
      <c r="DW40" s="2"/>
      <c r="EF40" s="4"/>
      <c r="EH40" s="4"/>
      <c r="ER40" s="2"/>
      <c r="ES40" s="2"/>
      <c r="EX40" s="4"/>
      <c r="EZ40" s="4"/>
      <c r="FQ40" s="4"/>
      <c r="FS40" s="4"/>
      <c r="GE40" s="2"/>
      <c r="GJ40" s="4"/>
      <c r="GL40" s="4"/>
      <c r="GR40" s="2"/>
      <c r="GS40" s="3"/>
      <c r="GV40" s="2"/>
      <c r="GX40" s="3"/>
      <c r="HP40" s="2"/>
      <c r="HS40" s="4"/>
      <c r="HU40" s="4"/>
      <c r="IK40" s="4"/>
      <c r="IS40" s="2"/>
      <c r="IT40" s="2"/>
      <c r="IV40" s="2"/>
      <c r="IW40" s="4"/>
      <c r="IY40" s="4"/>
      <c r="JH40" s="2"/>
      <c r="JK40" s="4"/>
      <c r="JM40" s="4"/>
      <c r="JZ40" s="2"/>
      <c r="KD40" s="4"/>
      <c r="KF40" s="4"/>
      <c r="KJ40" s="4"/>
      <c r="KT40" s="2"/>
      <c r="KU40" s="2"/>
      <c r="KW40" s="2"/>
      <c r="LC40" s="2"/>
      <c r="LF40" s="2"/>
      <c r="LK40" s="2"/>
      <c r="LT40" s="4"/>
      <c r="LV40" s="4"/>
      <c r="MA40" s="3"/>
      <c r="NB40" s="2"/>
      <c r="NC40" s="2"/>
      <c r="NJ40" s="2"/>
      <c r="NN40" s="2"/>
      <c r="NO40" s="2"/>
      <c r="NT40" s="4"/>
      <c r="NV40" s="4"/>
      <c r="OA40" s="2"/>
      <c r="OB40" s="2"/>
      <c r="ON40" s="2"/>
      <c r="OR40" s="4"/>
      <c r="OT40" s="4"/>
      <c r="PD40" s="2"/>
      <c r="PH40" s="2"/>
      <c r="PQ40" s="2"/>
      <c r="PX40" s="2"/>
      <c r="PZ40" s="2"/>
      <c r="QF40" s="4"/>
      <c r="QH40" s="4"/>
      <c r="QZ40" s="2"/>
      <c r="RA40" s="2"/>
      <c r="RN40" s="4"/>
      <c r="RO40" s="4"/>
      <c r="RR40" s="2"/>
      <c r="RT40" s="2"/>
      <c r="RU40" s="2"/>
      <c r="SA40" s="4"/>
      <c r="SC40" s="4"/>
      <c r="SN40" s="2"/>
      <c r="SQ40" s="4"/>
      <c r="SS40" s="4"/>
      <c r="TG40" s="2"/>
      <c r="TH40" s="2"/>
      <c r="TI40" s="2"/>
      <c r="TU40" s="4"/>
    </row>
    <row r="41" spans="1:543">
      <c r="A41">
        <v>6940</v>
      </c>
      <c r="B41">
        <v>7502</v>
      </c>
      <c r="C41">
        <v>1274139766</v>
      </c>
      <c r="D41" t="s">
        <v>253</v>
      </c>
      <c r="E41" t="s">
        <v>254</v>
      </c>
      <c r="F41" t="s">
        <v>255</v>
      </c>
      <c r="G41" s="2">
        <v>40451</v>
      </c>
      <c r="H41" t="s">
        <v>30</v>
      </c>
      <c r="I41" t="s">
        <v>236</v>
      </c>
      <c r="J41" t="s">
        <v>32</v>
      </c>
      <c r="K41" t="s">
        <v>256</v>
      </c>
      <c r="L41" t="s">
        <v>77</v>
      </c>
      <c r="N41" t="s">
        <v>257</v>
      </c>
      <c r="O41" s="2">
        <f>DATE(YEAR(G41) + P41, MONTH(G41), DAY(G41))</f>
        <v>64192</v>
      </c>
      <c r="P41">
        <v>65</v>
      </c>
      <c r="Q41" s="2"/>
      <c r="R41" t="s">
        <v>47</v>
      </c>
      <c r="S41" t="s">
        <v>181</v>
      </c>
      <c r="T41" s="2">
        <v>39450</v>
      </c>
      <c r="U41" t="s">
        <v>38</v>
      </c>
      <c r="V41" t="s">
        <v>38</v>
      </c>
      <c r="W41">
        <v>16</v>
      </c>
      <c r="X41" s="1">
        <v>46339</v>
      </c>
      <c r="Y41" s="1">
        <v>9267.8000000000011</v>
      </c>
      <c r="Z41" s="1">
        <v>37071.199999999997</v>
      </c>
      <c r="AA41" s="3">
        <v>968</v>
      </c>
      <c r="AK41" s="3"/>
      <c r="AM41" s="4"/>
      <c r="AO41" s="4"/>
      <c r="BA41" s="2"/>
      <c r="BB41" s="2"/>
      <c r="BD41" s="4"/>
      <c r="BF41" s="4"/>
      <c r="BM41" s="2"/>
      <c r="BO41" s="4"/>
      <c r="BQ41" s="4"/>
      <c r="CI41" s="2"/>
      <c r="CJ41" s="2"/>
      <c r="CN41" s="2"/>
      <c r="CQ41" s="2"/>
      <c r="CV41" s="4"/>
      <c r="CX41" s="4"/>
      <c r="DB41" s="2"/>
      <c r="DC41" s="2"/>
      <c r="DE41" s="2"/>
      <c r="DF41" s="2"/>
      <c r="DG41" s="3"/>
      <c r="DV41" s="2"/>
      <c r="DW41" s="2"/>
      <c r="EF41" s="4"/>
      <c r="EH41" s="4"/>
      <c r="ER41" s="2"/>
      <c r="ES41" s="2"/>
      <c r="EX41" s="4"/>
      <c r="EZ41" s="4"/>
      <c r="FQ41" s="4"/>
      <c r="FS41" s="4"/>
      <c r="GE41" s="2"/>
      <c r="GJ41" s="4"/>
      <c r="GL41" s="4"/>
      <c r="GR41" s="2"/>
      <c r="GT41" s="3"/>
      <c r="GU41" s="3"/>
      <c r="GV41" s="2"/>
      <c r="HB41" s="3"/>
      <c r="HP41" s="2"/>
      <c r="HS41" s="4"/>
      <c r="HU41" s="4"/>
      <c r="II41" s="4"/>
      <c r="IK41" s="4"/>
      <c r="IS41" s="2"/>
      <c r="IT41" s="2"/>
      <c r="IV41" s="2"/>
      <c r="IW41" s="4"/>
      <c r="IY41" s="4"/>
      <c r="JH41" s="2"/>
      <c r="JK41" s="4"/>
      <c r="JM41" s="4"/>
      <c r="JZ41" s="2"/>
      <c r="KD41" s="4"/>
      <c r="KF41" s="4"/>
      <c r="KJ41" s="4"/>
      <c r="KT41" s="2"/>
      <c r="KU41" s="2"/>
      <c r="KW41" s="2"/>
      <c r="LC41" s="2"/>
      <c r="LF41" s="2"/>
      <c r="LK41" s="2"/>
      <c r="LT41" s="4"/>
      <c r="LV41" s="4"/>
      <c r="NB41" s="2"/>
      <c r="NC41" s="2"/>
      <c r="NJ41" s="2"/>
      <c r="NN41" s="2"/>
      <c r="NO41" s="2"/>
      <c r="NT41" s="4"/>
      <c r="NV41" s="4"/>
      <c r="OA41" s="2"/>
      <c r="OB41" s="2"/>
      <c r="ON41" s="2"/>
      <c r="OR41" s="4"/>
      <c r="OT41" s="4"/>
      <c r="PD41" s="2"/>
      <c r="PH41" s="2"/>
      <c r="PQ41" s="2"/>
      <c r="PX41" s="2"/>
      <c r="PZ41" s="2"/>
      <c r="QF41" s="4"/>
      <c r="QH41" s="4"/>
      <c r="QZ41" s="2"/>
      <c r="RA41" s="2"/>
      <c r="RN41" s="4"/>
      <c r="RO41" s="4"/>
      <c r="RT41" s="2"/>
      <c r="RU41" s="2"/>
      <c r="SA41" s="4"/>
      <c r="SC41" s="4"/>
      <c r="SN41" s="2"/>
      <c r="SQ41" s="4"/>
      <c r="SS41" s="4"/>
      <c r="TG41" s="2"/>
      <c r="TI41" s="2"/>
      <c r="TU41" s="4"/>
      <c r="TW41" s="4"/>
    </row>
    <row r="42" spans="1:543">
      <c r="A42">
        <v>4299</v>
      </c>
      <c r="B42">
        <v>1419</v>
      </c>
      <c r="C42">
        <v>6398808681</v>
      </c>
      <c r="D42" t="s">
        <v>134</v>
      </c>
      <c r="E42" t="s">
        <v>258</v>
      </c>
      <c r="F42" t="s">
        <v>259</v>
      </c>
      <c r="G42" s="2">
        <v>39787</v>
      </c>
      <c r="H42" t="s">
        <v>43</v>
      </c>
      <c r="I42" t="s">
        <v>260</v>
      </c>
      <c r="J42" t="s">
        <v>32</v>
      </c>
      <c r="K42" t="s">
        <v>261</v>
      </c>
      <c r="L42" t="s">
        <v>77</v>
      </c>
      <c r="M42" s="2"/>
      <c r="N42" t="s">
        <v>262</v>
      </c>
      <c r="O42" s="2">
        <f>DATE(YEAR(G42) + P42, MONTH(G42), DAY(G42))</f>
        <v>63528</v>
      </c>
      <c r="P42">
        <v>65</v>
      </c>
      <c r="Q42" s="2"/>
      <c r="R42" t="s">
        <v>47</v>
      </c>
      <c r="S42" t="s">
        <v>109</v>
      </c>
      <c r="T42" s="2">
        <v>40470</v>
      </c>
      <c r="U42" t="s">
        <v>38</v>
      </c>
      <c r="V42" t="s">
        <v>38</v>
      </c>
      <c r="W42">
        <v>17</v>
      </c>
      <c r="X42" s="1">
        <v>65416</v>
      </c>
      <c r="Y42" s="1">
        <v>13083.2</v>
      </c>
      <c r="Z42" s="1">
        <v>52332.800000000003</v>
      </c>
      <c r="AA42" s="3">
        <v>845</v>
      </c>
      <c r="AB42" s="3"/>
      <c r="AK42" s="3"/>
      <c r="AM42" s="4"/>
      <c r="AO42" s="4"/>
      <c r="BA42" s="2"/>
      <c r="BB42" s="2"/>
      <c r="BD42" s="4"/>
      <c r="BF42" s="4"/>
      <c r="BM42" s="2"/>
      <c r="BO42" s="4"/>
      <c r="BQ42" s="4"/>
      <c r="CH42" s="3"/>
      <c r="CI42" s="2"/>
      <c r="CJ42" s="2"/>
      <c r="CN42" s="2"/>
      <c r="CP42" s="3"/>
      <c r="CQ42" s="2"/>
      <c r="CV42" s="4"/>
      <c r="DB42" s="2"/>
      <c r="DC42" s="2"/>
      <c r="DE42" s="2"/>
      <c r="DF42" s="2"/>
      <c r="DV42" s="2"/>
      <c r="DW42" s="2"/>
      <c r="EF42" s="4"/>
      <c r="EH42" s="4"/>
      <c r="ER42" s="2"/>
      <c r="ES42" s="2"/>
      <c r="EX42" s="4"/>
      <c r="EZ42" s="4"/>
      <c r="FQ42" s="4"/>
      <c r="FS42" s="4"/>
      <c r="GD42" s="3"/>
      <c r="GE42" s="2"/>
      <c r="GJ42" s="4"/>
      <c r="GL42" s="4"/>
      <c r="GR42" s="2"/>
      <c r="GT42" s="3"/>
      <c r="GU42" s="3"/>
      <c r="GV42" s="2"/>
      <c r="GY42" s="3"/>
      <c r="HB42" s="3"/>
      <c r="HP42" s="2"/>
      <c r="HS42" s="4"/>
      <c r="HU42" s="4"/>
      <c r="II42" s="4"/>
      <c r="IK42" s="4"/>
      <c r="IS42" s="2"/>
      <c r="IT42" s="2"/>
      <c r="IV42" s="2"/>
      <c r="IW42" s="4"/>
      <c r="IY42" s="4"/>
      <c r="JH42" s="2"/>
      <c r="JK42" s="4"/>
      <c r="JZ42" s="2"/>
      <c r="KD42" s="4"/>
      <c r="KF42" s="4"/>
      <c r="KJ42" s="4"/>
      <c r="KT42" s="2"/>
      <c r="KU42" s="2"/>
      <c r="KW42" s="2"/>
      <c r="LC42" s="2"/>
      <c r="LF42" s="2"/>
      <c r="LK42" s="2"/>
      <c r="LT42" s="4"/>
      <c r="LV42" s="4"/>
      <c r="MJ42" s="3"/>
      <c r="ML42" s="3"/>
      <c r="NB42" s="2"/>
      <c r="NC42" s="2"/>
      <c r="NJ42" s="2"/>
      <c r="NM42" s="3"/>
      <c r="NN42" s="2"/>
      <c r="NO42" s="2"/>
      <c r="NT42" s="4"/>
      <c r="NV42" s="4"/>
      <c r="OA42" s="2"/>
      <c r="OB42" s="2"/>
      <c r="ON42" s="2"/>
      <c r="OR42" s="4"/>
      <c r="OT42" s="4"/>
      <c r="PD42" s="2"/>
      <c r="PH42" s="2"/>
      <c r="PK42" s="3"/>
      <c r="PN42" s="3"/>
      <c r="PQ42" s="2"/>
      <c r="PX42" s="2"/>
      <c r="PZ42" s="2"/>
      <c r="QH42" s="4"/>
      <c r="QZ42" s="2"/>
      <c r="RA42" s="2"/>
      <c r="RN42" s="4"/>
      <c r="RO42" s="4"/>
      <c r="RR42" s="2"/>
      <c r="RT42" s="2"/>
      <c r="RU42" s="2"/>
      <c r="SA42" s="4"/>
      <c r="SC42" s="4"/>
      <c r="SN42" s="2"/>
      <c r="SQ42" s="4"/>
      <c r="SS42" s="4"/>
      <c r="TG42" s="2"/>
      <c r="TH42" s="2"/>
      <c r="TI42" s="2"/>
      <c r="TU42" s="4"/>
      <c r="TW42" s="4"/>
    </row>
    <row r="43" spans="1:543">
      <c r="A43">
        <v>289</v>
      </c>
      <c r="B43">
        <v>9863</v>
      </c>
      <c r="C43">
        <v>3262046702</v>
      </c>
      <c r="D43" t="s">
        <v>222</v>
      </c>
      <c r="E43" t="s">
        <v>263</v>
      </c>
      <c r="F43" t="s">
        <v>264</v>
      </c>
      <c r="G43" s="2">
        <v>40501</v>
      </c>
      <c r="H43" t="s">
        <v>43</v>
      </c>
      <c r="I43" t="s">
        <v>31</v>
      </c>
      <c r="J43" t="s">
        <v>32</v>
      </c>
      <c r="K43" t="s">
        <v>265</v>
      </c>
      <c r="L43" t="s">
        <v>77</v>
      </c>
      <c r="M43" s="2"/>
      <c r="N43" t="s">
        <v>266</v>
      </c>
      <c r="O43" s="2">
        <f>DATE(YEAR(G43) + P43, MONTH(G43), DAY(G43))</f>
        <v>62416</v>
      </c>
      <c r="P43">
        <v>60</v>
      </c>
      <c r="Q43" s="2"/>
      <c r="R43" t="s">
        <v>47</v>
      </c>
      <c r="S43" t="s">
        <v>64</v>
      </c>
      <c r="T43" s="2">
        <v>44135</v>
      </c>
      <c r="U43" t="s">
        <v>65</v>
      </c>
      <c r="V43" t="s">
        <v>56</v>
      </c>
      <c r="W43">
        <v>4</v>
      </c>
      <c r="X43" s="1">
        <v>45147</v>
      </c>
      <c r="Y43" s="1">
        <v>9029.4</v>
      </c>
      <c r="Z43" s="1">
        <v>36117.599999999999</v>
      </c>
      <c r="AA43" s="3">
        <v>663</v>
      </c>
      <c r="AB43" s="3"/>
      <c r="AK43" s="3"/>
      <c r="AM43" s="4"/>
      <c r="AO43" s="4"/>
      <c r="BA43" s="2"/>
      <c r="BB43" s="2"/>
      <c r="BD43" s="4"/>
      <c r="BF43" s="4"/>
      <c r="BO43" s="4"/>
      <c r="BQ43" s="4"/>
      <c r="CI43" s="2"/>
      <c r="CJ43" s="2"/>
      <c r="CQ43" s="2"/>
      <c r="CV43" s="4"/>
      <c r="CX43" s="4"/>
      <c r="DB43" s="2"/>
      <c r="DC43" s="2"/>
      <c r="DD43" s="3"/>
      <c r="DE43" s="2"/>
      <c r="DF43" s="2"/>
      <c r="DV43" s="2"/>
      <c r="DW43" s="2"/>
      <c r="EF43" s="4"/>
      <c r="EH43" s="4"/>
      <c r="ER43" s="2"/>
      <c r="ES43" s="2"/>
      <c r="EU43" s="3"/>
      <c r="EX43" s="4"/>
      <c r="EZ43" s="4"/>
      <c r="FS43" s="4"/>
      <c r="GE43" s="2"/>
      <c r="GJ43" s="4"/>
      <c r="GL43" s="4"/>
      <c r="GU43" s="3"/>
      <c r="GV43" s="2"/>
      <c r="HB43" s="3"/>
      <c r="HN43" s="3"/>
      <c r="HP43" s="2"/>
      <c r="HS43" s="4"/>
      <c r="HU43" s="4"/>
      <c r="II43" s="4"/>
      <c r="IK43" s="4"/>
      <c r="IS43" s="2"/>
      <c r="IT43" s="2"/>
      <c r="IV43" s="2"/>
      <c r="IW43" s="4"/>
      <c r="JH43" s="2"/>
      <c r="JK43" s="4"/>
      <c r="JM43" s="4"/>
      <c r="JZ43" s="2"/>
      <c r="KD43" s="4"/>
      <c r="KF43" s="4"/>
      <c r="KI43" s="3"/>
      <c r="KJ43" s="4"/>
      <c r="KT43" s="2"/>
      <c r="KU43" s="2"/>
      <c r="KW43" s="2"/>
      <c r="LC43" s="2"/>
      <c r="LK43" s="2"/>
      <c r="LT43" s="4"/>
      <c r="LV43" s="4"/>
      <c r="NB43" s="2"/>
      <c r="NC43" s="2"/>
      <c r="NH43" s="3"/>
      <c r="NJ43" s="2"/>
      <c r="NM43" s="3"/>
      <c r="NN43" s="2"/>
      <c r="NO43" s="2"/>
      <c r="NT43" s="4"/>
      <c r="NV43" s="4"/>
      <c r="OA43" s="2"/>
      <c r="OB43" s="2"/>
      <c r="ON43" s="2"/>
      <c r="OT43" s="4"/>
      <c r="PH43" s="2"/>
      <c r="PQ43" s="2"/>
      <c r="PX43" s="2"/>
      <c r="PZ43" s="2"/>
      <c r="QF43" s="4"/>
      <c r="QH43" s="4"/>
      <c r="QZ43" s="2"/>
      <c r="RA43" s="2"/>
      <c r="RN43" s="4"/>
      <c r="RO43" s="4"/>
      <c r="RT43" s="2"/>
      <c r="RU43" s="2"/>
      <c r="SA43" s="4"/>
      <c r="SC43" s="4"/>
      <c r="SN43" s="2"/>
      <c r="SQ43" s="4"/>
      <c r="SS43" s="4"/>
      <c r="TG43" s="2"/>
      <c r="TH43" s="2"/>
      <c r="TU43" s="4"/>
      <c r="TW43" s="4"/>
    </row>
    <row r="44" spans="1:543">
      <c r="A44">
        <v>4758</v>
      </c>
      <c r="B44">
        <v>9960</v>
      </c>
      <c r="C44">
        <v>6040902025</v>
      </c>
      <c r="D44" t="s">
        <v>267</v>
      </c>
      <c r="E44" t="s">
        <v>268</v>
      </c>
      <c r="F44" t="s">
        <v>269</v>
      </c>
      <c r="G44" s="2">
        <v>24214</v>
      </c>
      <c r="H44" t="s">
        <v>43</v>
      </c>
      <c r="I44" t="s">
        <v>124</v>
      </c>
      <c r="J44" t="s">
        <v>61</v>
      </c>
      <c r="K44" t="s">
        <v>270</v>
      </c>
      <c r="L44" t="s">
        <v>77</v>
      </c>
      <c r="M44" s="2">
        <v>25354</v>
      </c>
      <c r="N44" t="s">
        <v>271</v>
      </c>
      <c r="O44" s="2">
        <f>DATE(YEAR(G44) + P44, MONTH(G44), DAY(G44))</f>
        <v>49782</v>
      </c>
      <c r="P44">
        <v>70</v>
      </c>
      <c r="Q44" s="2"/>
      <c r="R44" t="s">
        <v>47</v>
      </c>
      <c r="S44" t="s">
        <v>64</v>
      </c>
      <c r="T44" s="2">
        <v>40445</v>
      </c>
      <c r="U44" t="s">
        <v>65</v>
      </c>
      <c r="V44" t="s">
        <v>56</v>
      </c>
      <c r="W44">
        <v>3</v>
      </c>
      <c r="X44" s="1">
        <v>58223</v>
      </c>
      <c r="Y44" s="1">
        <v>11644.6</v>
      </c>
      <c r="Z44" s="1">
        <v>46578.400000000001</v>
      </c>
      <c r="AA44" s="3">
        <v>774</v>
      </c>
      <c r="AK44" s="3"/>
      <c r="AM44" s="4"/>
      <c r="AO44" s="4"/>
      <c r="BA44" s="2"/>
      <c r="BB44" s="2"/>
      <c r="BD44" s="4"/>
      <c r="BF44" s="4"/>
      <c r="BM44" s="2"/>
      <c r="BO44" s="4"/>
      <c r="BQ44" s="4"/>
      <c r="CF44" s="3"/>
      <c r="CI44" s="2"/>
      <c r="CJ44" s="2"/>
      <c r="CN44" s="2"/>
      <c r="CQ44" s="2"/>
      <c r="CV44" s="4"/>
      <c r="CX44" s="4"/>
      <c r="DB44" s="2"/>
      <c r="DC44" s="2"/>
      <c r="DE44" s="2"/>
      <c r="DF44" s="2"/>
      <c r="DV44" s="2"/>
      <c r="DW44" s="2"/>
      <c r="EF44" s="4"/>
      <c r="EH44" s="4"/>
      <c r="ER44" s="2"/>
      <c r="ES44" s="2"/>
      <c r="EX44" s="4"/>
      <c r="EZ44" s="4"/>
      <c r="FQ44" s="4"/>
      <c r="FS44" s="4"/>
      <c r="GE44" s="2"/>
      <c r="GJ44" s="4"/>
      <c r="GL44" s="4"/>
      <c r="GR44" s="2"/>
      <c r="GV44" s="2"/>
      <c r="GX44" s="3"/>
      <c r="GY44" s="3"/>
      <c r="HP44" s="2"/>
      <c r="HS44" s="4"/>
      <c r="HU44" s="4"/>
      <c r="II44" s="4"/>
      <c r="IK44" s="4"/>
      <c r="IS44" s="2"/>
      <c r="IT44" s="2"/>
      <c r="IV44" s="2"/>
      <c r="IY44" s="4"/>
      <c r="JH44" s="2"/>
      <c r="JK44" s="4"/>
      <c r="JM44" s="4"/>
      <c r="JZ44" s="2"/>
      <c r="KD44" s="4"/>
      <c r="KF44" s="4"/>
      <c r="KJ44" s="4"/>
      <c r="KT44" s="2"/>
      <c r="KU44" s="2"/>
      <c r="KW44" s="2"/>
      <c r="LC44" s="2"/>
      <c r="LF44" s="2"/>
      <c r="LK44" s="2"/>
      <c r="LT44" s="4"/>
      <c r="LV44" s="4"/>
      <c r="NB44" s="2"/>
      <c r="NC44" s="2"/>
      <c r="NJ44" s="2"/>
      <c r="NN44" s="2"/>
      <c r="NO44" s="2"/>
      <c r="NT44" s="4"/>
      <c r="NV44" s="4"/>
      <c r="OA44" s="2"/>
      <c r="OB44" s="2"/>
      <c r="ON44" s="2"/>
      <c r="OR44" s="4"/>
      <c r="OT44" s="4"/>
      <c r="PD44" s="2"/>
      <c r="PH44" s="2"/>
      <c r="PQ44" s="2"/>
      <c r="PX44" s="2"/>
      <c r="PZ44" s="2"/>
      <c r="QF44" s="4"/>
      <c r="QH44" s="4"/>
      <c r="QZ44" s="2"/>
      <c r="RA44" s="2"/>
      <c r="RN44" s="4"/>
      <c r="RO44" s="4"/>
      <c r="RR44" s="2"/>
      <c r="RT44" s="2"/>
      <c r="RU44" s="2"/>
      <c r="SA44" s="4"/>
      <c r="SC44" s="4"/>
      <c r="SN44" s="2"/>
      <c r="SQ44" s="4"/>
      <c r="SS44" s="4"/>
      <c r="TG44" s="2"/>
      <c r="TH44" s="2"/>
      <c r="TI44" s="2"/>
      <c r="TU44" s="4"/>
      <c r="TW44" s="4"/>
    </row>
    <row r="45" spans="1:543">
      <c r="A45">
        <v>1413</v>
      </c>
      <c r="B45">
        <v>7121</v>
      </c>
      <c r="C45">
        <v>8505036333</v>
      </c>
      <c r="D45" t="s">
        <v>272</v>
      </c>
      <c r="E45" t="s">
        <v>273</v>
      </c>
      <c r="F45" t="s">
        <v>274</v>
      </c>
      <c r="G45" s="2">
        <v>40466</v>
      </c>
      <c r="H45" t="s">
        <v>43</v>
      </c>
      <c r="I45" t="s">
        <v>130</v>
      </c>
      <c r="J45" t="s">
        <v>61</v>
      </c>
      <c r="K45" t="s">
        <v>275</v>
      </c>
      <c r="L45" t="s">
        <v>77</v>
      </c>
      <c r="M45" s="2">
        <v>39029</v>
      </c>
      <c r="N45" t="s">
        <v>276</v>
      </c>
      <c r="O45" s="2">
        <f>DATE(YEAR(G45) + P45, MONTH(G45), DAY(G45))</f>
        <v>64207</v>
      </c>
      <c r="P45">
        <v>65</v>
      </c>
      <c r="Q45" s="2"/>
      <c r="R45" t="s">
        <v>47</v>
      </c>
      <c r="S45" t="s">
        <v>181</v>
      </c>
      <c r="T45" s="2">
        <v>23193</v>
      </c>
      <c r="U45" t="s">
        <v>38</v>
      </c>
      <c r="V45" t="s">
        <v>38</v>
      </c>
      <c r="W45">
        <v>7</v>
      </c>
      <c r="X45" s="1">
        <v>57648</v>
      </c>
      <c r="Y45" s="1">
        <v>11529.6</v>
      </c>
      <c r="Z45" s="1">
        <v>46118.400000000001</v>
      </c>
      <c r="AA45" s="3">
        <v>621</v>
      </c>
      <c r="AK45" s="3"/>
      <c r="AM45" s="4"/>
      <c r="AO45" s="4"/>
      <c r="BA45" s="2"/>
      <c r="BB45" s="2"/>
      <c r="BD45" s="4"/>
      <c r="BF45" s="4"/>
      <c r="BM45" s="2"/>
      <c r="BQ45" s="4"/>
      <c r="CI45" s="2"/>
      <c r="CJ45" s="2"/>
      <c r="CN45" s="2"/>
      <c r="CQ45" s="2"/>
      <c r="CV45" s="4"/>
      <c r="CX45" s="4"/>
      <c r="DB45" s="2"/>
      <c r="DE45" s="2"/>
      <c r="DV45" s="2"/>
      <c r="DW45" s="2"/>
      <c r="DX45" s="3"/>
      <c r="EF45" s="4"/>
      <c r="EH45" s="4"/>
      <c r="ER45" s="2"/>
      <c r="ES45" s="2"/>
      <c r="EV45" s="3"/>
      <c r="EX45" s="4"/>
      <c r="EZ45" s="4"/>
      <c r="FQ45" s="4"/>
      <c r="FS45" s="4"/>
      <c r="GJ45" s="4"/>
      <c r="GL45" s="4"/>
      <c r="GR45" s="2"/>
      <c r="GS45" s="3"/>
      <c r="GU45" s="3"/>
      <c r="GV45" s="2"/>
      <c r="GW45" s="3"/>
      <c r="HB45" s="3"/>
      <c r="HP45" s="2"/>
      <c r="HS45" s="4"/>
      <c r="HU45" s="4"/>
      <c r="II45" s="4"/>
      <c r="IK45" s="4"/>
      <c r="IS45" s="2"/>
      <c r="IT45" s="2"/>
      <c r="IV45" s="2"/>
      <c r="IW45" s="4"/>
      <c r="IY45" s="4"/>
      <c r="JH45" s="2"/>
      <c r="JK45" s="4"/>
      <c r="JM45" s="4"/>
      <c r="JZ45" s="2"/>
      <c r="KD45" s="4"/>
      <c r="KF45" s="4"/>
      <c r="KJ45" s="4"/>
      <c r="KT45" s="2"/>
      <c r="KW45" s="2"/>
      <c r="LK45" s="2"/>
      <c r="LT45" s="4"/>
      <c r="LV45" s="4"/>
      <c r="LZ45" s="3"/>
      <c r="NC45" s="2"/>
      <c r="NG45" s="5"/>
      <c r="NJ45" s="2"/>
      <c r="NN45" s="2"/>
      <c r="NO45" s="2"/>
      <c r="NV45" s="4"/>
      <c r="OB45" s="2"/>
      <c r="OK45" s="3"/>
      <c r="ON45" s="2"/>
      <c r="OR45" s="4"/>
      <c r="OT45" s="4"/>
      <c r="PD45" s="2"/>
      <c r="PH45" s="2"/>
      <c r="PQ45" s="2"/>
      <c r="PX45" s="2"/>
      <c r="PZ45" s="2"/>
      <c r="QF45" s="4"/>
      <c r="QZ45" s="2"/>
      <c r="RA45" s="2"/>
      <c r="RN45" s="4"/>
      <c r="RO45" s="4"/>
      <c r="RT45" s="2"/>
      <c r="RU45" s="2"/>
      <c r="SA45" s="4"/>
      <c r="SM45" s="3"/>
      <c r="SN45" s="2"/>
      <c r="SQ45" s="4"/>
      <c r="SS45" s="4"/>
      <c r="TG45" s="2"/>
      <c r="TH45" s="2"/>
      <c r="TI45" s="2"/>
      <c r="TU45" s="4"/>
      <c r="TW45" s="4"/>
    </row>
    <row r="46" spans="1:543">
      <c r="A46">
        <v>3241</v>
      </c>
      <c r="B46">
        <v>7167</v>
      </c>
      <c r="C46">
        <v>3190186274</v>
      </c>
      <c r="D46" t="s">
        <v>208</v>
      </c>
      <c r="E46" t="s">
        <v>277</v>
      </c>
      <c r="F46" t="s">
        <v>278</v>
      </c>
      <c r="G46" s="2">
        <v>31290</v>
      </c>
      <c r="H46" t="s">
        <v>43</v>
      </c>
      <c r="I46" t="s">
        <v>279</v>
      </c>
      <c r="J46" t="s">
        <v>61</v>
      </c>
      <c r="K46" t="s">
        <v>280</v>
      </c>
      <c r="L46" t="s">
        <v>34</v>
      </c>
      <c r="M46" s="2">
        <v>30293</v>
      </c>
      <c r="N46" t="s">
        <v>281</v>
      </c>
      <c r="O46" s="2">
        <f>DATE(YEAR(G46) + P46, MONTH(G46), DAY(G46))</f>
        <v>54301</v>
      </c>
      <c r="P46">
        <v>63</v>
      </c>
      <c r="Q46" s="2"/>
      <c r="R46" t="s">
        <v>47</v>
      </c>
      <c r="S46" t="s">
        <v>48</v>
      </c>
      <c r="T46" s="2">
        <v>44334</v>
      </c>
      <c r="U46" t="s">
        <v>133</v>
      </c>
      <c r="V46" t="s">
        <v>38</v>
      </c>
      <c r="W46">
        <v>4</v>
      </c>
      <c r="X46" s="1">
        <v>48917</v>
      </c>
      <c r="Y46" s="1">
        <v>9783.4</v>
      </c>
      <c r="Z46" s="1">
        <v>39133.599999999999</v>
      </c>
      <c r="AA46" s="3">
        <v>539</v>
      </c>
      <c r="AK46" s="3"/>
      <c r="AM46" s="4"/>
      <c r="AO46" s="4"/>
      <c r="BA46" s="2"/>
      <c r="BB46" s="2"/>
      <c r="BD46" s="4"/>
      <c r="BF46" s="4"/>
      <c r="BM46" s="2"/>
      <c r="BO46" s="4"/>
      <c r="BQ46" s="4"/>
      <c r="CF46" s="3"/>
      <c r="CI46" s="2"/>
      <c r="CJ46" s="2"/>
      <c r="CN46" s="2"/>
      <c r="CQ46" s="2"/>
      <c r="CX46" s="4"/>
      <c r="DA46" s="3"/>
      <c r="DB46" s="2"/>
      <c r="DD46" s="3"/>
      <c r="DE46" s="2"/>
      <c r="DF46" s="2"/>
      <c r="DV46" s="2"/>
      <c r="EF46" s="4"/>
      <c r="EH46" s="4"/>
      <c r="ER46" s="2"/>
      <c r="ES46" s="2"/>
      <c r="EZ46" s="4"/>
      <c r="FQ46" s="4"/>
      <c r="FS46" s="4"/>
      <c r="GE46" s="2"/>
      <c r="GG46" s="3"/>
      <c r="GJ46" s="4"/>
      <c r="GL46" s="4"/>
      <c r="GV46" s="2"/>
      <c r="GW46" s="3"/>
      <c r="GX46" s="3"/>
      <c r="GY46" s="3"/>
      <c r="HB46" s="3"/>
      <c r="HP46" s="2"/>
      <c r="HS46" s="4"/>
      <c r="II46" s="4"/>
      <c r="IK46" s="4"/>
      <c r="IS46" s="2"/>
      <c r="IT46" s="2"/>
      <c r="IV46" s="2"/>
      <c r="IW46" s="4"/>
      <c r="IY46" s="4"/>
      <c r="JK46" s="4"/>
      <c r="JM46" s="4"/>
      <c r="JZ46" s="2"/>
      <c r="KF46" s="4"/>
      <c r="KJ46" s="4"/>
      <c r="KU46" s="2"/>
      <c r="KW46" s="2"/>
      <c r="LC46" s="2"/>
      <c r="LF46" s="2"/>
      <c r="LK46" s="2"/>
      <c r="LM46" s="3"/>
      <c r="LT46" s="4"/>
      <c r="LV46" s="4"/>
      <c r="MA46" s="3"/>
      <c r="ML46" s="3"/>
      <c r="NB46" s="2"/>
      <c r="NC46" s="2"/>
      <c r="NJ46" s="2"/>
      <c r="NN46" s="2"/>
      <c r="NT46" s="4"/>
      <c r="NV46" s="4"/>
      <c r="OA46" s="2"/>
      <c r="OB46" s="2"/>
      <c r="ON46" s="2"/>
      <c r="OR46" s="4"/>
      <c r="PD46" s="2"/>
      <c r="PH46" s="2"/>
      <c r="PN46" s="3"/>
      <c r="PQ46" s="2"/>
      <c r="PX46" s="2"/>
      <c r="PZ46" s="2"/>
      <c r="QF46" s="4"/>
      <c r="QH46" s="4"/>
      <c r="QZ46" s="2"/>
      <c r="RA46" s="2"/>
      <c r="RN46" s="4"/>
      <c r="RO46" s="4"/>
      <c r="RR46" s="2"/>
      <c r="RT46" s="2"/>
      <c r="RU46" s="2"/>
      <c r="SA46" s="4"/>
      <c r="SN46" s="2"/>
      <c r="SQ46" s="4"/>
      <c r="SS46" s="4"/>
      <c r="TG46" s="2"/>
      <c r="TH46" s="2"/>
      <c r="TI46" s="2"/>
      <c r="TU46" s="4"/>
      <c r="TW46" s="4"/>
    </row>
    <row r="47" spans="1:543">
      <c r="A47">
        <v>4650</v>
      </c>
      <c r="B47">
        <v>4677</v>
      </c>
      <c r="C47">
        <v>4939813771</v>
      </c>
      <c r="D47" t="s">
        <v>282</v>
      </c>
      <c r="E47" t="s">
        <v>283</v>
      </c>
      <c r="F47" t="s">
        <v>284</v>
      </c>
      <c r="G47" s="2">
        <v>36592</v>
      </c>
      <c r="H47" t="s">
        <v>30</v>
      </c>
      <c r="I47" t="s">
        <v>143</v>
      </c>
      <c r="J47" t="s">
        <v>32</v>
      </c>
      <c r="K47" t="s">
        <v>285</v>
      </c>
      <c r="L47" t="s">
        <v>95</v>
      </c>
      <c r="M47" s="2"/>
      <c r="N47" t="s">
        <v>286</v>
      </c>
      <c r="O47" s="2">
        <f>DATE(YEAR(G47) + P47, MONTH(G47), DAY(G47))</f>
        <v>58507</v>
      </c>
      <c r="P47">
        <v>60</v>
      </c>
      <c r="Q47" s="2"/>
      <c r="R47" t="s">
        <v>47</v>
      </c>
      <c r="S47" t="s">
        <v>64</v>
      </c>
      <c r="T47" s="2">
        <v>30292</v>
      </c>
      <c r="U47" t="s">
        <v>65</v>
      </c>
      <c r="V47" t="s">
        <v>66</v>
      </c>
      <c r="W47">
        <v>3</v>
      </c>
      <c r="X47" s="1">
        <v>47373</v>
      </c>
      <c r="Y47" s="1">
        <v>9474.6</v>
      </c>
      <c r="Z47" s="1">
        <v>37898.400000000001</v>
      </c>
      <c r="AA47" s="3">
        <v>46</v>
      </c>
      <c r="AK47" s="3"/>
      <c r="AM47" s="4"/>
      <c r="AO47" s="4"/>
      <c r="BA47" s="2"/>
      <c r="BB47" s="2"/>
      <c r="BD47" s="4"/>
      <c r="BF47" s="4"/>
      <c r="BM47" s="2"/>
      <c r="BO47" s="4"/>
      <c r="BQ47" s="4"/>
      <c r="CI47" s="2"/>
      <c r="CJ47" s="2"/>
      <c r="CN47" s="2"/>
      <c r="CQ47" s="2"/>
      <c r="CV47" s="4"/>
      <c r="CX47" s="4"/>
      <c r="CZ47" s="3"/>
      <c r="DB47" s="2"/>
      <c r="DC47" s="2"/>
      <c r="DD47" s="3"/>
      <c r="DE47" s="2"/>
      <c r="DF47" s="2"/>
      <c r="DV47" s="2"/>
      <c r="DW47" s="2"/>
      <c r="DY47" s="3"/>
      <c r="EC47" s="3"/>
      <c r="EF47" s="4"/>
      <c r="EH47" s="4"/>
      <c r="ES47" s="2"/>
      <c r="EX47" s="4"/>
      <c r="EZ47" s="4"/>
      <c r="FQ47" s="4"/>
      <c r="FS47" s="4"/>
      <c r="GE47" s="2"/>
      <c r="GJ47" s="4"/>
      <c r="GL47" s="4"/>
      <c r="GR47" s="2"/>
      <c r="GT47" s="3"/>
      <c r="GU47" s="3"/>
      <c r="GV47" s="2"/>
      <c r="GX47" s="3"/>
      <c r="GY47" s="3"/>
      <c r="HB47" s="3"/>
      <c r="HP47" s="2"/>
      <c r="HS47" s="4"/>
      <c r="HU47" s="4"/>
      <c r="II47" s="4"/>
      <c r="IK47" s="4"/>
      <c r="IT47" s="2"/>
      <c r="IV47" s="2"/>
      <c r="IW47" s="4"/>
      <c r="IY47" s="4"/>
      <c r="JH47" s="2"/>
      <c r="JK47" s="4"/>
      <c r="JM47" s="4"/>
      <c r="JZ47" s="2"/>
      <c r="KD47" s="4"/>
      <c r="KJ47" s="4"/>
      <c r="KU47" s="2"/>
      <c r="KW47" s="2"/>
      <c r="LC47" s="2"/>
      <c r="LF47" s="2"/>
      <c r="LH47" s="3"/>
      <c r="LK47" s="2"/>
      <c r="LT47" s="4"/>
      <c r="LV47" s="4"/>
      <c r="ME47" s="3"/>
      <c r="NB47" s="2"/>
      <c r="NC47" s="2"/>
      <c r="NG47" s="5"/>
      <c r="NJ47" s="2"/>
      <c r="NN47" s="2"/>
      <c r="NO47" s="2"/>
      <c r="NT47" s="4"/>
      <c r="NV47" s="4"/>
      <c r="OA47" s="2"/>
      <c r="OB47" s="2"/>
      <c r="OK47" s="3"/>
      <c r="ON47" s="2"/>
      <c r="OR47" s="4"/>
      <c r="OT47" s="4"/>
      <c r="PD47" s="2"/>
      <c r="PH47" s="2"/>
      <c r="PX47" s="2"/>
      <c r="PZ47" s="2"/>
      <c r="QF47" s="4"/>
      <c r="QH47" s="4"/>
      <c r="QJ47" s="3"/>
      <c r="QZ47" s="2"/>
      <c r="RA47" s="2"/>
      <c r="RN47" s="4"/>
      <c r="RO47" s="4"/>
      <c r="RR47" s="2"/>
      <c r="RT47" s="2"/>
      <c r="RU47" s="2"/>
      <c r="SC47" s="4"/>
      <c r="SN47" s="2"/>
      <c r="SQ47" s="4"/>
      <c r="SS47" s="4"/>
      <c r="TG47" s="2"/>
      <c r="TH47" s="2"/>
      <c r="TI47" s="2"/>
      <c r="TO47" s="3"/>
      <c r="TU47" s="4"/>
      <c r="TW47" s="4"/>
    </row>
    <row r="48" spans="1:543">
      <c r="A48">
        <v>5939</v>
      </c>
      <c r="B48">
        <v>9913</v>
      </c>
      <c r="C48">
        <v>6195642508</v>
      </c>
      <c r="D48" t="s">
        <v>287</v>
      </c>
      <c r="E48" t="s">
        <v>288</v>
      </c>
      <c r="F48" t="s">
        <v>289</v>
      </c>
      <c r="G48" s="2">
        <v>40457</v>
      </c>
      <c r="H48" t="s">
        <v>30</v>
      </c>
      <c r="I48" t="s">
        <v>75</v>
      </c>
      <c r="J48" t="s">
        <v>32</v>
      </c>
      <c r="K48" t="s">
        <v>290</v>
      </c>
      <c r="L48" t="s">
        <v>77</v>
      </c>
      <c r="M48" s="2"/>
      <c r="N48" t="s">
        <v>291</v>
      </c>
      <c r="O48" s="2">
        <f>DATE(YEAR(G48) + P48, MONTH(G48), DAY(G48))</f>
        <v>63833</v>
      </c>
      <c r="P48">
        <v>64</v>
      </c>
      <c r="Q48" s="2"/>
      <c r="R48" t="s">
        <v>47</v>
      </c>
      <c r="S48" t="s">
        <v>37</v>
      </c>
      <c r="T48" s="2">
        <v>41424</v>
      </c>
      <c r="U48" t="s">
        <v>49</v>
      </c>
      <c r="V48" t="s">
        <v>39</v>
      </c>
      <c r="W48">
        <v>23</v>
      </c>
      <c r="X48" s="1">
        <v>12327</v>
      </c>
      <c r="Y48" s="1">
        <v>2465.4</v>
      </c>
      <c r="Z48" s="1">
        <v>9861.6</v>
      </c>
      <c r="AA48" s="3">
        <v>705</v>
      </c>
      <c r="AK48" s="3"/>
      <c r="AM48" s="4"/>
      <c r="AO48" s="4"/>
      <c r="BA48" s="2"/>
      <c r="BB48" s="2"/>
      <c r="BD48" s="4"/>
      <c r="BF48" s="4"/>
      <c r="BM48" s="2"/>
      <c r="BO48" s="4"/>
      <c r="BQ48" s="4"/>
      <c r="CI48" s="2"/>
      <c r="CJ48" s="2"/>
      <c r="CN48" s="2"/>
      <c r="CQ48" s="2"/>
      <c r="CV48" s="4"/>
      <c r="CX48" s="4"/>
      <c r="DC48" s="2"/>
      <c r="DE48" s="2"/>
      <c r="DV48" s="2"/>
      <c r="DW48" s="2"/>
      <c r="DX48" s="3"/>
      <c r="EF48" s="4"/>
      <c r="EH48" s="4"/>
      <c r="ER48" s="2"/>
      <c r="EX48" s="4"/>
      <c r="EZ48" s="4"/>
      <c r="FQ48" s="4"/>
      <c r="FS48" s="4"/>
      <c r="GJ48" s="4"/>
      <c r="GR48" s="2"/>
      <c r="GU48" s="3"/>
      <c r="GV48" s="2"/>
      <c r="GW48" s="3"/>
      <c r="GX48" s="3"/>
      <c r="GY48" s="3"/>
      <c r="HO48" s="3"/>
      <c r="HP48" s="2"/>
      <c r="HS48" s="4"/>
      <c r="HU48" s="4"/>
      <c r="II48" s="4"/>
      <c r="IK48" s="4"/>
      <c r="IS48" s="2"/>
      <c r="IT48" s="2"/>
      <c r="IV48" s="2"/>
      <c r="IW48" s="4"/>
      <c r="IY48" s="4"/>
      <c r="JH48" s="2"/>
      <c r="JK48" s="4"/>
      <c r="JM48" s="4"/>
      <c r="JZ48" s="2"/>
      <c r="KD48" s="4"/>
      <c r="KF48" s="4"/>
      <c r="KI48" s="3"/>
      <c r="KT48" s="2"/>
      <c r="KU48" s="2"/>
      <c r="KW48" s="2"/>
      <c r="LC48" s="2"/>
      <c r="LF48" s="2"/>
      <c r="LK48" s="2"/>
      <c r="LT48" s="4"/>
      <c r="LV48" s="4"/>
      <c r="NB48" s="2"/>
      <c r="NC48" s="2"/>
      <c r="NJ48" s="2"/>
      <c r="NN48" s="2"/>
      <c r="NO48" s="2"/>
      <c r="NV48" s="4"/>
      <c r="OA48" s="2"/>
      <c r="OB48" s="2"/>
      <c r="ON48" s="2"/>
      <c r="OR48" s="4"/>
      <c r="PD48" s="2"/>
      <c r="PH48" s="2"/>
      <c r="PN48" s="3"/>
      <c r="PQ48" s="2"/>
      <c r="PX48" s="2"/>
      <c r="PZ48" s="2"/>
      <c r="QH48" s="4"/>
      <c r="QZ48" s="2"/>
      <c r="RA48" s="2"/>
      <c r="RN48" s="4"/>
      <c r="RO48" s="4"/>
      <c r="RR48" s="2"/>
      <c r="RT48" s="2"/>
      <c r="RU48" s="2"/>
      <c r="SN48" s="2"/>
      <c r="SQ48" s="4"/>
      <c r="SS48" s="4"/>
      <c r="TG48" s="2"/>
      <c r="TI48" s="2"/>
      <c r="TN48" s="3"/>
      <c r="TU48" s="4"/>
      <c r="TW48" s="4"/>
    </row>
    <row r="49" spans="1:543">
      <c r="A49">
        <v>1742</v>
      </c>
      <c r="B49">
        <v>2735</v>
      </c>
      <c r="C49">
        <v>2595364245</v>
      </c>
      <c r="D49" t="s">
        <v>172</v>
      </c>
      <c r="E49" t="s">
        <v>173</v>
      </c>
      <c r="F49" t="s">
        <v>174</v>
      </c>
      <c r="G49" s="2">
        <v>27304</v>
      </c>
      <c r="H49" t="s">
        <v>30</v>
      </c>
      <c r="I49" t="s">
        <v>70</v>
      </c>
      <c r="J49" t="s">
        <v>32</v>
      </c>
      <c r="K49" t="s">
        <v>292</v>
      </c>
      <c r="L49" t="s">
        <v>95</v>
      </c>
      <c r="M49" s="2"/>
      <c r="N49" t="s">
        <v>293</v>
      </c>
      <c r="O49" s="2">
        <f>DATE(YEAR(G49) + P49, MONTH(G49), DAY(G49))</f>
        <v>52141</v>
      </c>
      <c r="P49">
        <v>68</v>
      </c>
      <c r="Q49" s="2"/>
      <c r="R49" t="s">
        <v>47</v>
      </c>
      <c r="S49" t="s">
        <v>37</v>
      </c>
      <c r="T49" s="2">
        <v>28625</v>
      </c>
      <c r="U49" t="s">
        <v>65</v>
      </c>
      <c r="V49" t="s">
        <v>66</v>
      </c>
      <c r="W49">
        <v>13</v>
      </c>
      <c r="X49" s="1">
        <v>77396</v>
      </c>
      <c r="Y49" s="1">
        <v>15479.2</v>
      </c>
      <c r="Z49" s="1">
        <v>61916.800000000003</v>
      </c>
      <c r="AA49" s="3">
        <v>442</v>
      </c>
      <c r="AK49" s="3"/>
      <c r="AM49" s="4"/>
      <c r="AO49" s="4"/>
      <c r="BA49" s="2"/>
      <c r="BB49" s="2"/>
      <c r="BD49" s="4"/>
      <c r="BF49" s="4"/>
      <c r="BM49" s="2"/>
      <c r="BQ49" s="4"/>
      <c r="CJ49" s="2"/>
      <c r="CN49" s="2"/>
      <c r="CQ49" s="2"/>
      <c r="CV49" s="4"/>
      <c r="CX49" s="4"/>
      <c r="DB49" s="2"/>
      <c r="DC49" s="2"/>
      <c r="DD49" s="3"/>
      <c r="DE49" s="2"/>
      <c r="DF49" s="2"/>
      <c r="DV49" s="2"/>
      <c r="DW49" s="2"/>
      <c r="EF49" s="4"/>
      <c r="EH49" s="4"/>
      <c r="ER49" s="2"/>
      <c r="EX49" s="4"/>
      <c r="EZ49" s="4"/>
      <c r="FQ49" s="4"/>
      <c r="FS49" s="4"/>
      <c r="GE49" s="2"/>
      <c r="GJ49" s="4"/>
      <c r="GL49" s="4"/>
      <c r="GR49" s="2"/>
      <c r="GU49" s="3"/>
      <c r="GV49" s="2"/>
      <c r="HB49" s="3"/>
      <c r="HP49" s="2"/>
      <c r="HS49" s="4"/>
      <c r="HU49" s="4"/>
      <c r="II49" s="4"/>
      <c r="IK49" s="4"/>
      <c r="IS49" s="2"/>
      <c r="IV49" s="2"/>
      <c r="IW49" s="4"/>
      <c r="IY49" s="4"/>
      <c r="JH49" s="2"/>
      <c r="JK49" s="4"/>
      <c r="JM49" s="4"/>
      <c r="JZ49" s="2"/>
      <c r="KD49" s="4"/>
      <c r="KF49" s="4"/>
      <c r="KJ49" s="4"/>
      <c r="KT49" s="2"/>
      <c r="KU49" s="2"/>
      <c r="LC49" s="2"/>
      <c r="LF49" s="2"/>
      <c r="LK49" s="2"/>
      <c r="LT49" s="4"/>
      <c r="LV49" s="4"/>
      <c r="NB49" s="2"/>
      <c r="NC49" s="2"/>
      <c r="NJ49" s="2"/>
      <c r="NN49" s="2"/>
      <c r="NT49" s="4"/>
      <c r="OA49" s="2"/>
      <c r="OB49" s="2"/>
      <c r="ON49" s="2"/>
      <c r="OR49" s="4"/>
      <c r="OT49" s="4"/>
      <c r="PD49" s="2"/>
      <c r="PH49" s="2"/>
      <c r="PI49" s="3"/>
      <c r="PQ49" s="2"/>
      <c r="PX49" s="2"/>
      <c r="PY49" s="3"/>
      <c r="QH49" s="4"/>
      <c r="QZ49" s="2"/>
      <c r="RA49" s="2"/>
      <c r="RN49" s="4"/>
      <c r="RO49" s="4"/>
      <c r="RR49" s="2"/>
      <c r="RT49" s="2"/>
      <c r="SA49" s="4"/>
      <c r="SC49" s="4"/>
      <c r="SN49" s="2"/>
      <c r="SQ49" s="4"/>
      <c r="SS49" s="4"/>
      <c r="TG49" s="2"/>
      <c r="TH49" s="2"/>
      <c r="TI49" s="2"/>
      <c r="TU49" s="4"/>
      <c r="TW49" s="4"/>
    </row>
    <row r="50" spans="1:543">
      <c r="A50">
        <v>9752</v>
      </c>
      <c r="B50">
        <v>9127</v>
      </c>
      <c r="C50">
        <v>1328492197</v>
      </c>
      <c r="D50" t="s">
        <v>213</v>
      </c>
      <c r="E50" t="s">
        <v>294</v>
      </c>
      <c r="F50" t="s">
        <v>295</v>
      </c>
      <c r="G50" s="2">
        <v>24895</v>
      </c>
      <c r="H50" t="s">
        <v>30</v>
      </c>
      <c r="I50" t="s">
        <v>279</v>
      </c>
      <c r="J50" t="s">
        <v>32</v>
      </c>
      <c r="K50" t="s">
        <v>296</v>
      </c>
      <c r="L50" t="s">
        <v>34</v>
      </c>
      <c r="M50" s="2"/>
      <c r="N50" t="s">
        <v>297</v>
      </c>
      <c r="O50" s="2">
        <f>DATE(YEAR(G50) + P50, MONTH(G50), DAY(G50))</f>
        <v>49732</v>
      </c>
      <c r="P50">
        <v>68</v>
      </c>
      <c r="Q50" s="2"/>
      <c r="R50" t="s">
        <v>47</v>
      </c>
      <c r="S50" t="s">
        <v>181</v>
      </c>
      <c r="T50" s="2">
        <v>23041</v>
      </c>
      <c r="U50" t="s">
        <v>103</v>
      </c>
      <c r="V50" t="s">
        <v>38</v>
      </c>
      <c r="W50">
        <v>12</v>
      </c>
      <c r="X50" s="1">
        <v>35483</v>
      </c>
      <c r="Y50" s="1">
        <v>7096.6</v>
      </c>
      <c r="Z50" s="1">
        <v>28386.400000000001</v>
      </c>
      <c r="AA50" s="3">
        <v>813</v>
      </c>
      <c r="AK50" s="3"/>
      <c r="AM50" s="4"/>
      <c r="AO50" s="4"/>
      <c r="BA50" s="2"/>
      <c r="BB50" s="2"/>
      <c r="BD50" s="4"/>
      <c r="BM50" s="2"/>
      <c r="BO50" s="4"/>
      <c r="BQ50" s="4"/>
      <c r="CI50" s="2"/>
      <c r="CJ50" s="2"/>
      <c r="CN50" s="2"/>
      <c r="CQ50" s="2"/>
      <c r="CV50" s="4"/>
      <c r="CX50" s="4"/>
      <c r="DB50" s="2"/>
      <c r="DC50" s="2"/>
      <c r="DE50" s="2"/>
      <c r="DF50" s="2"/>
      <c r="DV50" s="2"/>
      <c r="DW50" s="2"/>
      <c r="EF50" s="4"/>
      <c r="EH50" s="4"/>
      <c r="ER50" s="2"/>
      <c r="ES50" s="2"/>
      <c r="EU50" s="3"/>
      <c r="EX50" s="4"/>
      <c r="EZ50" s="4"/>
      <c r="FQ50" s="4"/>
      <c r="FS50" s="4"/>
      <c r="GE50" s="2"/>
      <c r="GJ50" s="4"/>
      <c r="GL50" s="4"/>
      <c r="GR50" s="2"/>
      <c r="GS50" s="3"/>
      <c r="GT50" s="3"/>
      <c r="GU50" s="3"/>
      <c r="GV50" s="2"/>
      <c r="GW50" s="3"/>
      <c r="HB50" s="3"/>
      <c r="HO50" s="3"/>
      <c r="HP50" s="2"/>
      <c r="HQ50" s="3"/>
      <c r="HS50" s="4"/>
      <c r="HU50" s="4"/>
      <c r="II50" s="4"/>
      <c r="IS50" s="2"/>
      <c r="IV50" s="2"/>
      <c r="IW50" s="4"/>
      <c r="IY50" s="4"/>
      <c r="JH50" s="2"/>
      <c r="JK50" s="4"/>
      <c r="JM50" s="4"/>
      <c r="JZ50" s="2"/>
      <c r="KD50" s="4"/>
      <c r="KF50" s="4"/>
      <c r="KJ50" s="4"/>
      <c r="KT50" s="2"/>
      <c r="KW50" s="2"/>
      <c r="LC50" s="2"/>
      <c r="LF50" s="2"/>
      <c r="LK50" s="2"/>
      <c r="LT50" s="4"/>
      <c r="LV50" s="4"/>
      <c r="MA50" s="3"/>
      <c r="NB50" s="2"/>
      <c r="NG50" s="5"/>
      <c r="NJ50" s="2"/>
      <c r="NN50" s="2"/>
      <c r="NO50" s="2"/>
      <c r="NV50" s="4"/>
      <c r="OA50" s="2"/>
      <c r="OB50" s="2"/>
      <c r="ON50" s="2"/>
      <c r="OR50" s="4"/>
      <c r="OT50" s="4"/>
      <c r="PD50" s="2"/>
      <c r="PH50" s="2"/>
      <c r="PQ50" s="2"/>
      <c r="PX50" s="2"/>
      <c r="PZ50" s="2"/>
      <c r="QF50" s="4"/>
      <c r="QH50" s="4"/>
      <c r="QX50" s="3"/>
      <c r="QZ50" s="2"/>
      <c r="RN50" s="4"/>
      <c r="RO50" s="4"/>
      <c r="RR50" s="2"/>
      <c r="RT50" s="2"/>
      <c r="RU50" s="2"/>
      <c r="SA50" s="4"/>
      <c r="SC50" s="4"/>
      <c r="SN50" s="2"/>
      <c r="SQ50" s="4"/>
      <c r="SS50" s="4"/>
      <c r="TG50" s="2"/>
      <c r="TH50" s="2"/>
      <c r="TI50" s="2"/>
      <c r="TP50" s="3"/>
      <c r="TW50" s="4"/>
    </row>
    <row r="51" spans="1:543">
      <c r="A51">
        <v>1086</v>
      </c>
      <c r="B51">
        <v>4275</v>
      </c>
      <c r="C51">
        <v>6741461373</v>
      </c>
      <c r="D51" t="s">
        <v>84</v>
      </c>
      <c r="E51" t="s">
        <v>298</v>
      </c>
      <c r="F51" t="s">
        <v>299</v>
      </c>
      <c r="G51" s="2">
        <v>30658</v>
      </c>
      <c r="H51" t="s">
        <v>30</v>
      </c>
      <c r="I51" t="s">
        <v>60</v>
      </c>
      <c r="J51" t="s">
        <v>32</v>
      </c>
      <c r="K51" t="s">
        <v>300</v>
      </c>
      <c r="L51" t="s">
        <v>34</v>
      </c>
      <c r="M51" s="2"/>
      <c r="N51" t="s">
        <v>301</v>
      </c>
      <c r="O51" s="2">
        <f>DATE(YEAR(G51) + P51, MONTH(G51), DAY(G51))</f>
        <v>52939</v>
      </c>
      <c r="P51">
        <v>61</v>
      </c>
      <c r="Q51" s="2"/>
      <c r="R51" t="s">
        <v>47</v>
      </c>
      <c r="S51" t="s">
        <v>102</v>
      </c>
      <c r="T51" s="2">
        <v>39446</v>
      </c>
      <c r="U51" t="s">
        <v>49</v>
      </c>
      <c r="V51" t="s">
        <v>38</v>
      </c>
      <c r="W51">
        <v>24</v>
      </c>
      <c r="X51" s="1">
        <v>78213</v>
      </c>
      <c r="Y51" s="1">
        <v>15642.6</v>
      </c>
      <c r="Z51" s="1">
        <v>62570.400000000001</v>
      </c>
      <c r="AA51" s="3">
        <v>278</v>
      </c>
      <c r="AJ51" s="3"/>
      <c r="AK51" s="3"/>
      <c r="AM51" s="4"/>
      <c r="AO51" s="4"/>
      <c r="BA51" s="2"/>
      <c r="BD51" s="4"/>
      <c r="BM51" s="2"/>
      <c r="BO51" s="4"/>
      <c r="BQ51" s="4"/>
      <c r="CH51" s="3"/>
      <c r="CI51" s="2"/>
      <c r="CJ51" s="2"/>
      <c r="CL51" s="3"/>
      <c r="CN51" s="2"/>
      <c r="CQ51" s="2"/>
      <c r="CV51" s="4"/>
      <c r="CX51" s="4"/>
      <c r="CZ51" s="3"/>
      <c r="DB51" s="2"/>
      <c r="DC51" s="2"/>
      <c r="DE51" s="2"/>
      <c r="DF51" s="2"/>
      <c r="DV51" s="2"/>
      <c r="DW51" s="2"/>
      <c r="EF51" s="4"/>
      <c r="ES51" s="2"/>
      <c r="EX51" s="4"/>
      <c r="EZ51" s="4"/>
      <c r="FQ51" s="4"/>
      <c r="FS51" s="4"/>
      <c r="GE51" s="2"/>
      <c r="GJ51" s="4"/>
      <c r="GL51" s="4"/>
      <c r="GR51" s="2"/>
      <c r="GS51" s="3"/>
      <c r="GU51" s="3"/>
      <c r="GV51" s="2"/>
      <c r="GW51" s="3"/>
      <c r="GX51" s="3"/>
      <c r="HB51" s="3"/>
      <c r="HN51" s="3"/>
      <c r="HP51" s="2"/>
      <c r="HS51" s="4"/>
      <c r="HU51" s="4"/>
      <c r="IF51" s="3"/>
      <c r="II51" s="4"/>
      <c r="IK51" s="4"/>
      <c r="IS51" s="2"/>
      <c r="IT51" s="2"/>
      <c r="IV51" s="2"/>
      <c r="IW51" s="4"/>
      <c r="IY51" s="4"/>
      <c r="JK51" s="4"/>
      <c r="JM51" s="4"/>
      <c r="JZ51" s="2"/>
      <c r="KD51" s="4"/>
      <c r="KF51" s="4"/>
      <c r="KJ51" s="4"/>
      <c r="KT51" s="2"/>
      <c r="KU51" s="2"/>
      <c r="KW51" s="2"/>
      <c r="LC51" s="2"/>
      <c r="LF51" s="2"/>
      <c r="LH51" s="3"/>
      <c r="LK51" s="2"/>
      <c r="LT51" s="4"/>
      <c r="LV51" s="4"/>
      <c r="NJ51" s="2"/>
      <c r="NN51" s="2"/>
      <c r="NO51" s="2"/>
      <c r="NT51" s="4"/>
      <c r="NV51" s="4"/>
      <c r="OA51" s="2"/>
      <c r="OB51" s="2"/>
      <c r="OJ51" s="3"/>
      <c r="ON51" s="2"/>
      <c r="OR51" s="4"/>
      <c r="OT51" s="4"/>
      <c r="PD51" s="2"/>
      <c r="PQ51" s="2"/>
      <c r="PX51" s="2"/>
      <c r="PZ51" s="2"/>
      <c r="QF51" s="4"/>
      <c r="QH51" s="4"/>
      <c r="QZ51" s="2"/>
      <c r="RA51" s="2"/>
      <c r="RN51" s="4"/>
      <c r="RO51" s="4"/>
      <c r="RR51" s="2"/>
      <c r="RT51" s="2"/>
      <c r="RU51" s="2"/>
      <c r="SA51" s="4"/>
      <c r="SC51" s="4"/>
      <c r="SN51" s="2"/>
      <c r="SQ51" s="4"/>
      <c r="SS51" s="4"/>
      <c r="TG51" s="2"/>
      <c r="TH51" s="2"/>
      <c r="TI51" s="2"/>
      <c r="TN51" s="3"/>
      <c r="TU51" s="4"/>
      <c r="TW51" s="4"/>
    </row>
    <row r="52" spans="1:543">
      <c r="A52">
        <v>6310</v>
      </c>
      <c r="B52">
        <v>9363</v>
      </c>
      <c r="C52">
        <v>2731911692</v>
      </c>
      <c r="D52" t="s">
        <v>287</v>
      </c>
      <c r="E52" t="s">
        <v>302</v>
      </c>
      <c r="F52" t="s">
        <v>303</v>
      </c>
      <c r="G52" s="2">
        <v>29930</v>
      </c>
      <c r="H52" t="s">
        <v>30</v>
      </c>
      <c r="I52" t="s">
        <v>279</v>
      </c>
      <c r="J52" t="s">
        <v>32</v>
      </c>
      <c r="K52" t="s">
        <v>304</v>
      </c>
      <c r="L52" t="s">
        <v>95</v>
      </c>
      <c r="M52" s="2"/>
      <c r="N52" t="s">
        <v>305</v>
      </c>
      <c r="O52" s="2">
        <f>DATE(YEAR(G52) + P52, MONTH(G52), DAY(G52))</f>
        <v>53306</v>
      </c>
      <c r="P52">
        <v>64</v>
      </c>
      <c r="Q52" s="2"/>
      <c r="R52" t="s">
        <v>47</v>
      </c>
      <c r="S52" t="s">
        <v>102</v>
      </c>
      <c r="T52" s="2">
        <v>26834</v>
      </c>
      <c r="U52" t="s">
        <v>133</v>
      </c>
      <c r="V52" t="s">
        <v>56</v>
      </c>
      <c r="W52">
        <v>1</v>
      </c>
      <c r="X52" s="1">
        <v>18618</v>
      </c>
      <c r="Y52" s="1">
        <v>3723.6000000000004</v>
      </c>
      <c r="Z52" s="1">
        <v>14894.4</v>
      </c>
      <c r="AA52" s="3">
        <v>313</v>
      </c>
      <c r="AK52" s="3"/>
      <c r="AM52" s="4"/>
      <c r="AO52" s="4"/>
      <c r="BA52" s="2"/>
      <c r="BB52" s="2"/>
      <c r="BD52" s="4"/>
      <c r="BF52" s="4"/>
      <c r="BM52" s="2"/>
      <c r="BO52" s="4"/>
      <c r="BQ52" s="4"/>
      <c r="CJ52" s="2"/>
      <c r="CN52" s="2"/>
      <c r="CQ52" s="2"/>
      <c r="CV52" s="4"/>
      <c r="CX52" s="4"/>
      <c r="DB52" s="2"/>
      <c r="DC52" s="2"/>
      <c r="DE52" s="2"/>
      <c r="DF52" s="2"/>
      <c r="DV52" s="2"/>
      <c r="DW52" s="2"/>
      <c r="EF52" s="4"/>
      <c r="EH52" s="4"/>
      <c r="ER52" s="2"/>
      <c r="ES52" s="2"/>
      <c r="EX52" s="4"/>
      <c r="EZ52" s="4"/>
      <c r="FS52" s="4"/>
      <c r="GE52" s="2"/>
      <c r="GJ52" s="4"/>
      <c r="GL52" s="4"/>
      <c r="GR52" s="2"/>
      <c r="GT52" s="3"/>
      <c r="GV52" s="2"/>
      <c r="GX52" s="3"/>
      <c r="HB52" s="3"/>
      <c r="HP52" s="2"/>
      <c r="HU52" s="4"/>
      <c r="II52" s="4"/>
      <c r="IS52" s="2"/>
      <c r="IT52" s="2"/>
      <c r="IV52" s="2"/>
      <c r="IW52" s="4"/>
      <c r="IY52" s="4"/>
      <c r="JH52" s="2"/>
      <c r="JK52" s="4"/>
      <c r="JM52" s="4"/>
      <c r="JZ52" s="2"/>
      <c r="KD52" s="4"/>
      <c r="KF52" s="4"/>
      <c r="KJ52" s="4"/>
      <c r="KT52" s="2"/>
      <c r="KU52" s="2"/>
      <c r="KW52" s="2"/>
      <c r="LC52" s="2"/>
      <c r="LF52" s="2"/>
      <c r="LK52" s="2"/>
      <c r="LM52" s="3"/>
      <c r="LT52" s="4"/>
      <c r="LV52" s="4"/>
      <c r="MF52" s="3"/>
      <c r="NB52" s="2"/>
      <c r="NC52" s="2"/>
      <c r="NJ52" s="2"/>
      <c r="NO52" s="2"/>
      <c r="NT52" s="4"/>
      <c r="NV52" s="4"/>
      <c r="OA52" s="2"/>
      <c r="OB52" s="2"/>
      <c r="ON52" s="2"/>
      <c r="OR52" s="4"/>
      <c r="OT52" s="4"/>
      <c r="PD52" s="2"/>
      <c r="PH52" s="2"/>
      <c r="PQ52" s="2"/>
      <c r="PX52" s="2"/>
      <c r="PZ52" s="2"/>
      <c r="QF52" s="4"/>
      <c r="QH52" s="4"/>
      <c r="RA52" s="2"/>
      <c r="RN52" s="4"/>
      <c r="RO52" s="4"/>
      <c r="RR52" s="2"/>
      <c r="RT52" s="2"/>
      <c r="SA52" s="4"/>
      <c r="SC52" s="4"/>
      <c r="SN52" s="2"/>
      <c r="SQ52" s="4"/>
      <c r="SS52" s="4"/>
      <c r="TG52" s="2"/>
      <c r="TH52" s="2"/>
      <c r="TI52" s="2"/>
      <c r="TU52" s="4"/>
      <c r="TW52" s="4"/>
    </row>
    <row r="53" spans="1:543">
      <c r="A53">
        <v>7487</v>
      </c>
      <c r="B53">
        <v>5668</v>
      </c>
      <c r="C53">
        <v>5897222998</v>
      </c>
      <c r="D53" t="s">
        <v>40</v>
      </c>
      <c r="E53" t="s">
        <v>307</v>
      </c>
      <c r="F53" t="s">
        <v>308</v>
      </c>
      <c r="G53" s="2">
        <v>28490</v>
      </c>
      <c r="H53" t="s">
        <v>30</v>
      </c>
      <c r="I53" t="s">
        <v>130</v>
      </c>
      <c r="J53" t="s">
        <v>61</v>
      </c>
      <c r="K53" t="s">
        <v>309</v>
      </c>
      <c r="L53" t="s">
        <v>95</v>
      </c>
      <c r="M53" s="2">
        <v>37222</v>
      </c>
      <c r="N53" t="s">
        <v>310</v>
      </c>
      <c r="O53" s="2">
        <f>DATE(YEAR(G53) + P53, MONTH(G53), DAY(G53))</f>
        <v>52596</v>
      </c>
      <c r="P53">
        <v>66</v>
      </c>
      <c r="Q53" s="2">
        <v>45290</v>
      </c>
      <c r="R53" t="s">
        <v>36</v>
      </c>
      <c r="S53" t="s">
        <v>102</v>
      </c>
      <c r="T53" s="2">
        <v>42061</v>
      </c>
      <c r="U53" t="s">
        <v>38</v>
      </c>
      <c r="V53" t="s">
        <v>38</v>
      </c>
      <c r="W53">
        <v>25</v>
      </c>
      <c r="X53" s="1">
        <v>36730</v>
      </c>
      <c r="Y53" s="1">
        <v>7346</v>
      </c>
      <c r="Z53" s="1">
        <v>29384</v>
      </c>
      <c r="AA53" s="3">
        <v>705</v>
      </c>
      <c r="AK53" s="3"/>
      <c r="AM53" s="4"/>
      <c r="AO53" s="4"/>
      <c r="BA53" s="2"/>
      <c r="BB53" s="2"/>
      <c r="BD53" s="4"/>
      <c r="BF53" s="4"/>
      <c r="BM53" s="2"/>
      <c r="BO53" s="4"/>
      <c r="BQ53" s="4"/>
      <c r="CG53" s="3"/>
      <c r="CI53" s="2"/>
      <c r="CJ53" s="2"/>
      <c r="CN53" s="2"/>
      <c r="CQ53" s="2"/>
      <c r="CX53" s="4"/>
      <c r="DA53" s="3"/>
      <c r="DB53" s="2"/>
      <c r="DC53" s="2"/>
      <c r="DE53" s="2"/>
      <c r="DV53" s="2"/>
      <c r="DW53" s="2"/>
      <c r="EF53" s="4"/>
      <c r="EH53" s="4"/>
      <c r="ER53" s="2"/>
      <c r="ES53" s="2"/>
      <c r="EX53" s="4"/>
      <c r="EZ53" s="4"/>
      <c r="FQ53" s="4"/>
      <c r="FS53" s="4"/>
      <c r="GE53" s="2"/>
      <c r="GJ53" s="4"/>
      <c r="GL53" s="4"/>
      <c r="GR53" s="2"/>
      <c r="GU53" s="3"/>
      <c r="GV53" s="2"/>
      <c r="GX53" s="3"/>
      <c r="GY53" s="3"/>
      <c r="HB53" s="3"/>
      <c r="HN53" s="3"/>
      <c r="HP53" s="2"/>
      <c r="HS53" s="4"/>
      <c r="HU53" s="4"/>
      <c r="II53" s="4"/>
      <c r="IK53" s="4"/>
      <c r="IS53" s="2"/>
      <c r="IT53" s="2"/>
      <c r="IV53" s="2"/>
      <c r="IW53" s="4"/>
      <c r="IY53" s="4"/>
      <c r="JH53" s="2"/>
      <c r="JK53" s="4"/>
      <c r="JM53" s="4"/>
      <c r="KD53" s="4"/>
      <c r="KF53" s="4"/>
      <c r="KJ53" s="4"/>
      <c r="KT53" s="2"/>
      <c r="KU53" s="2"/>
      <c r="KW53" s="2"/>
      <c r="LC53" s="2"/>
      <c r="LF53" s="2"/>
      <c r="LK53" s="2"/>
      <c r="LT53" s="4"/>
      <c r="LV53" s="4"/>
      <c r="MI53" s="3"/>
      <c r="NB53" s="2"/>
      <c r="NC53" s="2"/>
      <c r="NJ53" s="2"/>
      <c r="NO53" s="2"/>
      <c r="NT53" s="4"/>
      <c r="OA53" s="2"/>
      <c r="OB53" s="2"/>
      <c r="OR53" s="4"/>
      <c r="OT53" s="4"/>
      <c r="PD53" s="2"/>
      <c r="PH53" s="2"/>
      <c r="PQ53" s="2"/>
      <c r="PX53" s="2"/>
      <c r="PZ53" s="2"/>
      <c r="QF53" s="4"/>
      <c r="QH53" s="4"/>
      <c r="QZ53" s="2"/>
      <c r="RA53" s="2"/>
      <c r="RN53" s="4"/>
      <c r="RO53" s="4"/>
      <c r="RR53" s="2"/>
      <c r="RT53" s="2"/>
      <c r="RU53" s="2"/>
      <c r="SA53" s="4"/>
      <c r="SC53" s="4"/>
      <c r="SN53" s="2"/>
      <c r="SQ53" s="4"/>
      <c r="SS53" s="4"/>
      <c r="TG53" s="2"/>
      <c r="TH53" s="2"/>
      <c r="TI53" s="2"/>
      <c r="TU53" s="4"/>
      <c r="TW53" s="4"/>
    </row>
    <row r="54" spans="1:543">
      <c r="A54">
        <v>6152</v>
      </c>
      <c r="B54">
        <v>2288</v>
      </c>
      <c r="C54">
        <v>2260044965</v>
      </c>
      <c r="D54" t="s">
        <v>311</v>
      </c>
      <c r="E54" t="s">
        <v>312</v>
      </c>
      <c r="F54" t="s">
        <v>313</v>
      </c>
      <c r="G54" s="2">
        <v>40481</v>
      </c>
      <c r="H54" t="s">
        <v>43</v>
      </c>
      <c r="I54" t="s">
        <v>124</v>
      </c>
      <c r="J54" t="s">
        <v>61</v>
      </c>
      <c r="K54" t="s">
        <v>314</v>
      </c>
      <c r="L54" t="s">
        <v>95</v>
      </c>
      <c r="M54" s="2">
        <v>28702</v>
      </c>
      <c r="N54" t="s">
        <v>315</v>
      </c>
      <c r="O54" s="2">
        <f>DATE(YEAR(G54) + P54, MONTH(G54), DAY(G54))</f>
        <v>64588</v>
      </c>
      <c r="P54">
        <v>66</v>
      </c>
      <c r="Q54" s="2"/>
      <c r="R54" t="s">
        <v>47</v>
      </c>
      <c r="S54" t="s">
        <v>64</v>
      </c>
      <c r="T54" s="2">
        <v>42673</v>
      </c>
      <c r="U54" t="s">
        <v>38</v>
      </c>
      <c r="V54" t="s">
        <v>39</v>
      </c>
      <c r="W54">
        <v>17</v>
      </c>
      <c r="X54" s="1">
        <v>73770</v>
      </c>
      <c r="Y54" s="1">
        <v>14754</v>
      </c>
      <c r="Z54" s="1">
        <v>59016</v>
      </c>
      <c r="AA54" s="3">
        <v>388</v>
      </c>
      <c r="AK54" s="3"/>
      <c r="AM54" s="4"/>
      <c r="AO54" s="4"/>
      <c r="BA54" s="2"/>
      <c r="BB54" s="2"/>
      <c r="BD54" s="4"/>
      <c r="BF54" s="4"/>
      <c r="BM54" s="2"/>
      <c r="BO54" s="4"/>
      <c r="BQ54" s="4"/>
      <c r="CH54" s="3"/>
      <c r="CI54" s="2"/>
      <c r="CJ54" s="2"/>
      <c r="CN54" s="2"/>
      <c r="CX54" s="4"/>
      <c r="DB54" s="2"/>
      <c r="DC54" s="2"/>
      <c r="DE54" s="2"/>
      <c r="DF54" s="2"/>
      <c r="DV54" s="2"/>
      <c r="DW54" s="2"/>
      <c r="EF54" s="4"/>
      <c r="EH54" s="4"/>
      <c r="ER54" s="2"/>
      <c r="ES54" s="2"/>
      <c r="EZ54" s="4"/>
      <c r="FQ54" s="4"/>
      <c r="FS54" s="4"/>
      <c r="GE54" s="2"/>
      <c r="GJ54" s="4"/>
      <c r="GL54" s="4"/>
      <c r="GR54" s="2"/>
      <c r="GV54" s="2"/>
      <c r="GW54" s="3"/>
      <c r="GX54" s="3"/>
      <c r="GY54" s="3"/>
      <c r="HB54" s="3"/>
      <c r="HP54" s="2"/>
      <c r="HS54" s="4"/>
      <c r="HU54" s="4"/>
      <c r="II54" s="4"/>
      <c r="IK54" s="4"/>
      <c r="IS54" s="2"/>
      <c r="IT54" s="2"/>
      <c r="IV54" s="2"/>
      <c r="IW54" s="4"/>
      <c r="IY54" s="4"/>
      <c r="JH54" s="2"/>
      <c r="JK54" s="4"/>
      <c r="JM54" s="4"/>
      <c r="JZ54" s="2"/>
      <c r="KD54" s="4"/>
      <c r="KF54" s="4"/>
      <c r="KJ54" s="4"/>
      <c r="KT54" s="2"/>
      <c r="KU54" s="2"/>
      <c r="KW54" s="2"/>
      <c r="LC54" s="2"/>
      <c r="LF54" s="2"/>
      <c r="LK54" s="2"/>
      <c r="LT54" s="4"/>
      <c r="LV54" s="4"/>
      <c r="MB54" s="3"/>
      <c r="NB54" s="2"/>
      <c r="NC54" s="2"/>
      <c r="NG54" s="5"/>
      <c r="NJ54" s="2"/>
      <c r="NN54" s="2"/>
      <c r="NO54" s="2"/>
      <c r="NT54" s="4"/>
      <c r="NV54" s="4"/>
      <c r="OA54" s="2"/>
      <c r="ON54" s="2"/>
      <c r="OR54" s="4"/>
      <c r="OT54" s="4"/>
      <c r="PD54" s="2"/>
      <c r="PH54" s="2"/>
      <c r="PQ54" s="2"/>
      <c r="PX54" s="2"/>
      <c r="PZ54" s="2"/>
      <c r="QH54" s="4"/>
      <c r="QZ54" s="2"/>
      <c r="RA54" s="2"/>
      <c r="RN54" s="4"/>
      <c r="RO54" s="4"/>
      <c r="RR54" s="2"/>
      <c r="RT54" s="2"/>
      <c r="RU54" s="2"/>
      <c r="SA54" s="4"/>
      <c r="SN54" s="2"/>
      <c r="SQ54" s="4"/>
      <c r="SS54" s="4"/>
      <c r="TG54" s="2"/>
      <c r="TH54" s="2"/>
      <c r="TI54" s="2"/>
      <c r="TU54" s="4"/>
      <c r="TW54" s="4"/>
    </row>
    <row r="55" spans="1:543">
      <c r="A55">
        <v>6560</v>
      </c>
      <c r="B55">
        <v>7319</v>
      </c>
      <c r="C55">
        <v>3151650091</v>
      </c>
      <c r="D55" t="s">
        <v>316</v>
      </c>
      <c r="E55" t="s">
        <v>317</v>
      </c>
      <c r="F55" t="s">
        <v>318</v>
      </c>
      <c r="G55" s="2">
        <v>38352</v>
      </c>
      <c r="H55" t="s">
        <v>43</v>
      </c>
      <c r="I55" t="s">
        <v>44</v>
      </c>
      <c r="J55" t="s">
        <v>32</v>
      </c>
      <c r="K55" t="s">
        <v>319</v>
      </c>
      <c r="L55" t="s">
        <v>77</v>
      </c>
      <c r="N55" t="s">
        <v>320</v>
      </c>
      <c r="O55" s="2">
        <f>DATE(YEAR(G55) + P55, MONTH(G55), DAY(G55))</f>
        <v>60997</v>
      </c>
      <c r="P55">
        <v>62</v>
      </c>
      <c r="Q55" s="2"/>
      <c r="R55" t="s">
        <v>47</v>
      </c>
      <c r="S55" t="s">
        <v>48</v>
      </c>
      <c r="T55" s="2">
        <v>30677</v>
      </c>
      <c r="U55" t="s">
        <v>103</v>
      </c>
      <c r="V55" t="s">
        <v>38</v>
      </c>
      <c r="W55">
        <v>5</v>
      </c>
      <c r="X55" s="1">
        <v>79870</v>
      </c>
      <c r="Y55" s="1">
        <v>15974</v>
      </c>
      <c r="Z55" s="1">
        <v>63896</v>
      </c>
      <c r="AA55" s="3">
        <v>927</v>
      </c>
      <c r="AK55" s="3"/>
      <c r="AM55" s="4"/>
      <c r="AO55" s="4"/>
      <c r="BA55" s="2"/>
      <c r="BB55" s="2"/>
      <c r="BD55" s="4"/>
      <c r="BF55" s="4"/>
      <c r="BM55" s="2"/>
      <c r="BO55" s="4"/>
      <c r="BQ55" s="4"/>
      <c r="CI55" s="2"/>
      <c r="CJ55" s="2"/>
      <c r="CK55" s="3"/>
      <c r="CN55" s="2"/>
      <c r="CQ55" s="2"/>
      <c r="CV55" s="4"/>
      <c r="CX55" s="4"/>
      <c r="DB55" s="2"/>
      <c r="DC55" s="2"/>
      <c r="DE55" s="2"/>
      <c r="DF55" s="2"/>
      <c r="DV55" s="2"/>
      <c r="DW55" s="2"/>
      <c r="EF55" s="4"/>
      <c r="EH55" s="4"/>
      <c r="ER55" s="2"/>
      <c r="ES55" s="2"/>
      <c r="EX55" s="4"/>
      <c r="EZ55" s="4"/>
      <c r="FQ55" s="4"/>
      <c r="GE55" s="2"/>
      <c r="GJ55" s="4"/>
      <c r="GL55" s="4"/>
      <c r="GR55" s="2"/>
      <c r="GS55" s="3"/>
      <c r="GT55" s="3"/>
      <c r="GU55" s="3"/>
      <c r="GV55" s="2"/>
      <c r="GW55" s="3"/>
      <c r="HB55" s="3"/>
      <c r="HO55" s="3"/>
      <c r="HP55" s="2"/>
      <c r="HU55" s="4"/>
      <c r="II55" s="4"/>
      <c r="IK55" s="4"/>
      <c r="IS55" s="2"/>
      <c r="IT55" s="2"/>
      <c r="IV55" s="2"/>
      <c r="IW55" s="4"/>
      <c r="IY55" s="4"/>
      <c r="JK55" s="4"/>
      <c r="JM55" s="4"/>
      <c r="JZ55" s="2"/>
      <c r="KD55" s="4"/>
      <c r="KF55" s="4"/>
      <c r="KJ55" s="4"/>
      <c r="KT55" s="2"/>
      <c r="KU55" s="2"/>
      <c r="KW55" s="2"/>
      <c r="LF55" s="2"/>
      <c r="LK55" s="2"/>
      <c r="LT55" s="4"/>
      <c r="LV55" s="4"/>
      <c r="NB55" s="2"/>
      <c r="NC55" s="2"/>
      <c r="NJ55" s="2"/>
      <c r="NM55" s="3"/>
      <c r="NN55" s="2"/>
      <c r="NO55" s="2"/>
      <c r="NT55" s="4"/>
      <c r="NV55" s="4"/>
      <c r="OA55" s="2"/>
      <c r="OB55" s="2"/>
      <c r="ON55" s="2"/>
      <c r="OR55" s="4"/>
      <c r="OT55" s="4"/>
      <c r="PD55" s="2"/>
      <c r="PQ55" s="2"/>
      <c r="PX55" s="2"/>
      <c r="PY55" s="3"/>
      <c r="PZ55" s="2"/>
      <c r="QF55" s="4"/>
      <c r="QH55" s="4"/>
      <c r="QZ55" s="2"/>
      <c r="RA55" s="2"/>
      <c r="RO55" s="4"/>
      <c r="RR55" s="2"/>
      <c r="RT55" s="2"/>
      <c r="RU55" s="2"/>
      <c r="SA55" s="4"/>
      <c r="SC55" s="4"/>
      <c r="SN55" s="2"/>
      <c r="SQ55" s="4"/>
      <c r="SS55" s="4"/>
      <c r="TG55" s="2"/>
      <c r="TH55" s="2"/>
      <c r="TI55" s="2"/>
      <c r="TN55" s="3"/>
      <c r="TU55" s="4"/>
      <c r="TW55" s="4"/>
    </row>
    <row r="56" spans="1:543">
      <c r="A56">
        <v>9668</v>
      </c>
      <c r="B56">
        <v>1895</v>
      </c>
      <c r="C56">
        <v>6057897601</v>
      </c>
      <c r="D56" t="s">
        <v>104</v>
      </c>
      <c r="E56" t="s">
        <v>321</v>
      </c>
      <c r="F56" t="s">
        <v>322</v>
      </c>
      <c r="G56" s="2">
        <v>38172</v>
      </c>
      <c r="H56" t="s">
        <v>43</v>
      </c>
      <c r="I56" t="s">
        <v>192</v>
      </c>
      <c r="J56" t="s">
        <v>61</v>
      </c>
      <c r="K56" t="s">
        <v>323</v>
      </c>
      <c r="L56" t="s">
        <v>95</v>
      </c>
      <c r="M56" s="2">
        <v>38934</v>
      </c>
      <c r="N56" t="s">
        <v>324</v>
      </c>
      <c r="O56" s="2">
        <f>DATE(YEAR(G56) + P56, MONTH(G56), DAY(G56))</f>
        <v>63009</v>
      </c>
      <c r="P56">
        <v>68</v>
      </c>
      <c r="Q56" s="2"/>
      <c r="R56" t="s">
        <v>47</v>
      </c>
      <c r="S56" t="s">
        <v>102</v>
      </c>
      <c r="T56" s="2">
        <v>30226</v>
      </c>
      <c r="U56" t="s">
        <v>133</v>
      </c>
      <c r="V56" t="s">
        <v>56</v>
      </c>
      <c r="W56">
        <v>12</v>
      </c>
      <c r="X56" s="1">
        <v>84794</v>
      </c>
      <c r="Y56" s="1">
        <v>16958.8</v>
      </c>
      <c r="Z56" s="1">
        <v>67835.199999999997</v>
      </c>
      <c r="AA56" s="3">
        <v>25</v>
      </c>
      <c r="AK56" s="3"/>
      <c r="AO56" s="4"/>
      <c r="BB56" s="2"/>
      <c r="BD56" s="4"/>
      <c r="BF56" s="4"/>
      <c r="BM56" s="2"/>
      <c r="BO56" s="4"/>
      <c r="BQ56" s="4"/>
      <c r="CI56" s="2"/>
      <c r="CJ56" s="2"/>
      <c r="CN56" s="2"/>
      <c r="CQ56" s="2"/>
      <c r="CV56" s="4"/>
      <c r="CX56" s="4"/>
      <c r="DC56" s="2"/>
      <c r="DE56" s="2"/>
      <c r="DF56" s="2"/>
      <c r="DV56" s="2"/>
      <c r="DW56" s="2"/>
      <c r="EF56" s="4"/>
      <c r="EH56" s="4"/>
      <c r="ER56" s="2"/>
      <c r="ES56" s="2"/>
      <c r="EX56" s="4"/>
      <c r="EZ56" s="4"/>
      <c r="FQ56" s="4"/>
      <c r="GD56" s="3"/>
      <c r="GE56" s="2"/>
      <c r="GJ56" s="4"/>
      <c r="GL56" s="4"/>
      <c r="GR56" s="2"/>
      <c r="GS56" s="3"/>
      <c r="GU56" s="3"/>
      <c r="GV56" s="2"/>
      <c r="GX56" s="3"/>
      <c r="GY56" s="3"/>
      <c r="HB56" s="3"/>
      <c r="HP56" s="2"/>
      <c r="HQ56" s="3"/>
      <c r="HS56" s="4"/>
      <c r="HU56" s="4"/>
      <c r="II56" s="4"/>
      <c r="IK56" s="4"/>
      <c r="IS56" s="2"/>
      <c r="IV56" s="2"/>
      <c r="IW56" s="4"/>
      <c r="IY56" s="4"/>
      <c r="JH56" s="2"/>
      <c r="JK56" s="4"/>
      <c r="JM56" s="4"/>
      <c r="JZ56" s="2"/>
      <c r="KD56" s="4"/>
      <c r="KF56" s="4"/>
      <c r="KT56" s="2"/>
      <c r="KU56" s="2"/>
      <c r="KW56" s="2"/>
      <c r="LC56" s="2"/>
      <c r="LF56" s="2"/>
      <c r="LK56" s="2"/>
      <c r="LT56" s="4"/>
      <c r="LV56" s="4"/>
      <c r="NB56" s="2"/>
      <c r="NC56" s="2"/>
      <c r="NJ56" s="2"/>
      <c r="NN56" s="2"/>
      <c r="NO56" s="2"/>
      <c r="NT56" s="4"/>
      <c r="NV56" s="4"/>
      <c r="OA56" s="2"/>
      <c r="OB56" s="2"/>
      <c r="ON56" s="2"/>
      <c r="OR56" s="4"/>
      <c r="OT56" s="4"/>
      <c r="PD56" s="2"/>
      <c r="PH56" s="2"/>
      <c r="PQ56" s="2"/>
      <c r="PX56" s="2"/>
      <c r="PZ56" s="2"/>
      <c r="QF56" s="4"/>
      <c r="QH56" s="4"/>
      <c r="QZ56" s="2"/>
      <c r="RA56" s="2"/>
      <c r="RN56" s="4"/>
      <c r="RO56" s="4"/>
      <c r="RR56" s="2"/>
      <c r="RT56" s="2"/>
      <c r="RU56" s="2"/>
      <c r="SA56" s="4"/>
      <c r="SC56" s="4"/>
      <c r="SN56" s="2"/>
      <c r="SS56" s="4"/>
      <c r="TG56" s="2"/>
      <c r="TH56" s="2"/>
      <c r="TI56" s="2"/>
      <c r="TU56" s="4"/>
      <c r="TW56" s="4"/>
    </row>
    <row r="57" spans="1:543">
      <c r="A57">
        <v>918</v>
      </c>
      <c r="B57">
        <v>6846</v>
      </c>
      <c r="C57">
        <v>7019246833</v>
      </c>
      <c r="D57" t="s">
        <v>287</v>
      </c>
      <c r="E57" t="s">
        <v>325</v>
      </c>
      <c r="F57" t="s">
        <v>326</v>
      </c>
      <c r="G57" s="2">
        <v>34272</v>
      </c>
      <c r="H57" t="s">
        <v>30</v>
      </c>
      <c r="I57" t="s">
        <v>130</v>
      </c>
      <c r="J57" t="s">
        <v>32</v>
      </c>
      <c r="K57" t="s">
        <v>327</v>
      </c>
      <c r="L57" t="s">
        <v>77</v>
      </c>
      <c r="M57" s="2"/>
      <c r="N57" t="s">
        <v>328</v>
      </c>
      <c r="O57" s="2">
        <f>DATE(YEAR(G57) + P57, MONTH(G57), DAY(G57))</f>
        <v>58378</v>
      </c>
      <c r="P57">
        <v>66</v>
      </c>
      <c r="Q57" s="2"/>
      <c r="R57" t="s">
        <v>47</v>
      </c>
      <c r="S57" t="s">
        <v>102</v>
      </c>
      <c r="T57" s="2">
        <v>44870</v>
      </c>
      <c r="U57" t="s">
        <v>103</v>
      </c>
      <c r="V57" t="s">
        <v>39</v>
      </c>
      <c r="W57">
        <v>14</v>
      </c>
      <c r="X57" s="1">
        <v>63414</v>
      </c>
      <c r="Y57" s="1">
        <v>12682.800000000001</v>
      </c>
      <c r="Z57" s="1">
        <v>50731.199999999997</v>
      </c>
      <c r="AA57" s="3">
        <v>758</v>
      </c>
      <c r="AB57" s="3"/>
      <c r="AK57" s="3"/>
      <c r="AM57" s="4"/>
      <c r="AO57" s="4"/>
      <c r="BA57" s="2"/>
      <c r="BB57" s="2"/>
      <c r="BD57" s="4"/>
      <c r="BF57" s="4"/>
      <c r="BM57" s="2"/>
      <c r="BO57" s="4"/>
      <c r="CF57" s="3"/>
      <c r="CJ57" s="2"/>
      <c r="CK57" s="3"/>
      <c r="CN57" s="2"/>
      <c r="CQ57" s="2"/>
      <c r="CV57" s="4"/>
      <c r="CX57" s="4"/>
      <c r="DB57" s="2"/>
      <c r="DC57" s="2"/>
      <c r="DF57" s="2"/>
      <c r="DV57" s="2"/>
      <c r="DW57" s="2"/>
      <c r="EF57" s="4"/>
      <c r="EH57" s="4"/>
      <c r="ER57" s="2"/>
      <c r="ES57" s="2"/>
      <c r="EX57" s="4"/>
      <c r="EZ57" s="4"/>
      <c r="FQ57" s="4"/>
      <c r="FS57" s="4"/>
      <c r="GE57" s="2"/>
      <c r="GJ57" s="4"/>
      <c r="GL57" s="4"/>
      <c r="GR57" s="2"/>
      <c r="GS57" s="3"/>
      <c r="GT57" s="3"/>
      <c r="GU57" s="3"/>
      <c r="GV57" s="2"/>
      <c r="GY57" s="3"/>
      <c r="HB57" s="3"/>
      <c r="HN57" s="3"/>
      <c r="HP57" s="2"/>
      <c r="HS57" s="4"/>
      <c r="HU57" s="4"/>
      <c r="II57" s="4"/>
      <c r="IK57" s="4"/>
      <c r="IS57" s="2"/>
      <c r="IT57" s="2"/>
      <c r="IV57" s="2"/>
      <c r="IW57" s="4"/>
      <c r="IY57" s="4"/>
      <c r="JH57" s="2"/>
      <c r="JK57" s="4"/>
      <c r="JM57" s="4"/>
      <c r="JZ57" s="2"/>
      <c r="KD57" s="4"/>
      <c r="KF57" s="4"/>
      <c r="KJ57" s="4"/>
      <c r="KT57" s="2"/>
      <c r="KU57" s="2"/>
      <c r="KW57" s="2"/>
      <c r="LC57" s="2"/>
      <c r="LF57" s="2"/>
      <c r="LK57" s="2"/>
      <c r="LT57" s="4"/>
      <c r="LV57" s="4"/>
      <c r="MD57" s="3"/>
      <c r="NB57" s="2"/>
      <c r="NC57" s="2"/>
      <c r="NG57" s="5"/>
      <c r="NJ57" s="2"/>
      <c r="NN57" s="2"/>
      <c r="NO57" s="2"/>
      <c r="NP57" s="3"/>
      <c r="NT57" s="4"/>
      <c r="NV57" s="4"/>
      <c r="OA57" s="2"/>
      <c r="OB57" s="2"/>
      <c r="ON57" s="2"/>
      <c r="OR57" s="4"/>
      <c r="OT57" s="4"/>
      <c r="PD57" s="2"/>
      <c r="PH57" s="2"/>
      <c r="PQ57" s="2"/>
      <c r="PX57" s="2"/>
      <c r="PZ57" s="2"/>
      <c r="QF57" s="4"/>
      <c r="QH57" s="4"/>
      <c r="QX57" s="3"/>
      <c r="QZ57" s="2"/>
      <c r="RA57" s="2"/>
      <c r="RN57" s="4"/>
      <c r="RO57" s="4"/>
      <c r="RR57" s="2"/>
      <c r="RT57" s="2"/>
      <c r="RU57" s="2"/>
      <c r="SA57" s="4"/>
      <c r="SC57" s="4"/>
      <c r="SQ57" s="4"/>
      <c r="SS57" s="4"/>
      <c r="TG57" s="2"/>
      <c r="TH57" s="2"/>
      <c r="TI57" s="2"/>
      <c r="TU57" s="4"/>
      <c r="TW57" s="4"/>
    </row>
    <row r="58" spans="1:543">
      <c r="A58">
        <v>4999</v>
      </c>
      <c r="B58">
        <v>9426</v>
      </c>
      <c r="C58">
        <v>4484456084</v>
      </c>
      <c r="D58" t="s">
        <v>79</v>
      </c>
      <c r="E58" t="s">
        <v>329</v>
      </c>
      <c r="F58" t="s">
        <v>330</v>
      </c>
      <c r="G58" s="2">
        <v>38208</v>
      </c>
      <c r="H58" t="s">
        <v>30</v>
      </c>
      <c r="I58" t="s">
        <v>331</v>
      </c>
      <c r="J58" t="s">
        <v>32</v>
      </c>
      <c r="K58" t="s">
        <v>332</v>
      </c>
      <c r="L58" t="s">
        <v>34</v>
      </c>
      <c r="M58" s="2"/>
      <c r="N58" t="s">
        <v>333</v>
      </c>
      <c r="O58" s="2">
        <f>DATE(YEAR(G58) + P58, MONTH(G58), DAY(G58))</f>
        <v>63410</v>
      </c>
      <c r="P58">
        <v>69</v>
      </c>
      <c r="Q58" s="2"/>
      <c r="R58" t="s">
        <v>47</v>
      </c>
      <c r="S58" t="s">
        <v>102</v>
      </c>
      <c r="T58" s="2">
        <v>45778</v>
      </c>
      <c r="U58" t="s">
        <v>49</v>
      </c>
      <c r="V58" t="s">
        <v>39</v>
      </c>
      <c r="W58">
        <v>18</v>
      </c>
      <c r="X58" s="1">
        <v>56490</v>
      </c>
      <c r="Y58" s="1">
        <v>11298</v>
      </c>
      <c r="Z58" s="1">
        <v>45192</v>
      </c>
      <c r="AA58" s="3">
        <v>874</v>
      </c>
      <c r="AB58" s="3"/>
      <c r="AK58" s="3"/>
      <c r="AM58" s="4"/>
      <c r="AO58" s="4"/>
      <c r="BA58" s="2"/>
      <c r="BB58" s="2"/>
      <c r="BD58" s="4"/>
      <c r="BF58" s="4"/>
      <c r="BM58" s="2"/>
      <c r="BO58" s="4"/>
      <c r="BQ58" s="4"/>
      <c r="CI58" s="2"/>
      <c r="CJ58" s="2"/>
      <c r="CM58" s="3"/>
      <c r="CN58" s="2"/>
      <c r="CQ58" s="2"/>
      <c r="CX58" s="4"/>
      <c r="DB58" s="2"/>
      <c r="DC58" s="2"/>
      <c r="DE58" s="2"/>
      <c r="DF58" s="2"/>
      <c r="DV58" s="2"/>
      <c r="DW58" s="2"/>
      <c r="EF58" s="4"/>
      <c r="EH58" s="4"/>
      <c r="ER58" s="2"/>
      <c r="EX58" s="4"/>
      <c r="EZ58" s="4"/>
      <c r="FQ58" s="4"/>
      <c r="FS58" s="4"/>
      <c r="GE58" s="2"/>
      <c r="GJ58" s="4"/>
      <c r="GL58" s="4"/>
      <c r="GR58" s="2"/>
      <c r="GV58" s="2"/>
      <c r="GY58" s="3"/>
      <c r="HB58" s="3"/>
      <c r="HN58" s="3"/>
      <c r="HP58" s="2"/>
      <c r="HS58" s="4"/>
      <c r="HU58" s="4"/>
      <c r="II58" s="4"/>
      <c r="IK58" s="4"/>
      <c r="IS58" s="2"/>
      <c r="IT58" s="2"/>
      <c r="IW58" s="4"/>
      <c r="IY58" s="4"/>
      <c r="JH58" s="2"/>
      <c r="JK58" s="4"/>
      <c r="JM58" s="4"/>
      <c r="JZ58" s="2"/>
      <c r="KD58" s="4"/>
      <c r="KF58" s="4"/>
      <c r="KI58" s="3"/>
      <c r="KJ58" s="4"/>
      <c r="KT58" s="2"/>
      <c r="KU58" s="2"/>
      <c r="KW58" s="2"/>
      <c r="LC58" s="2"/>
      <c r="LK58" s="2"/>
      <c r="LT58" s="4"/>
      <c r="NC58" s="2"/>
      <c r="NN58" s="2"/>
      <c r="NT58" s="4"/>
      <c r="NV58" s="4"/>
      <c r="OA58" s="2"/>
      <c r="OB58" s="2"/>
      <c r="ON58" s="2"/>
      <c r="OO58" s="3"/>
      <c r="OR58" s="4"/>
      <c r="OT58" s="4"/>
      <c r="PD58" s="2"/>
      <c r="PH58" s="2"/>
      <c r="PQ58" s="2"/>
      <c r="PX58" s="2"/>
      <c r="PZ58" s="2"/>
      <c r="QF58" s="4"/>
      <c r="QH58" s="4"/>
      <c r="QZ58" s="2"/>
      <c r="RA58" s="2"/>
      <c r="RN58" s="4"/>
      <c r="RO58" s="4"/>
      <c r="RR58" s="2"/>
      <c r="RT58" s="2"/>
      <c r="SC58" s="4"/>
      <c r="SN58" s="2"/>
      <c r="SQ58" s="4"/>
      <c r="SS58" s="4"/>
      <c r="TG58" s="2"/>
      <c r="TU58" s="4"/>
      <c r="TW58" s="4"/>
    </row>
    <row r="59" spans="1:543">
      <c r="A59">
        <v>7765</v>
      </c>
      <c r="B59">
        <v>1148</v>
      </c>
      <c r="C59">
        <v>7395966297</v>
      </c>
      <c r="D59" t="s">
        <v>233</v>
      </c>
      <c r="E59" t="s">
        <v>334</v>
      </c>
      <c r="F59" t="s">
        <v>335</v>
      </c>
      <c r="G59" s="2">
        <v>40529</v>
      </c>
      <c r="H59" t="s">
        <v>43</v>
      </c>
      <c r="I59" t="s">
        <v>70</v>
      </c>
      <c r="J59" t="s">
        <v>61</v>
      </c>
      <c r="K59" t="s">
        <v>336</v>
      </c>
      <c r="L59" t="s">
        <v>77</v>
      </c>
      <c r="M59" s="2">
        <v>23844</v>
      </c>
      <c r="N59" t="s">
        <v>337</v>
      </c>
      <c r="O59" s="2">
        <f>DATE(YEAR(G59) + P59, MONTH(G59), DAY(G59))</f>
        <v>65731</v>
      </c>
      <c r="P59">
        <v>69</v>
      </c>
      <c r="Q59" s="2">
        <v>43754</v>
      </c>
      <c r="R59" t="s">
        <v>36</v>
      </c>
      <c r="S59" t="s">
        <v>181</v>
      </c>
      <c r="T59" s="2">
        <v>45658</v>
      </c>
      <c r="U59" t="s">
        <v>38</v>
      </c>
      <c r="V59" t="s">
        <v>39</v>
      </c>
      <c r="W59">
        <v>23</v>
      </c>
      <c r="X59" s="1">
        <v>42187</v>
      </c>
      <c r="Y59" s="1">
        <v>8437.4</v>
      </c>
      <c r="Z59" s="1">
        <v>33749.599999999999</v>
      </c>
      <c r="AA59" s="3">
        <v>59</v>
      </c>
      <c r="AK59" s="3"/>
      <c r="AM59" s="4"/>
      <c r="BA59" s="2"/>
      <c r="BB59" s="2"/>
      <c r="BD59" s="4"/>
      <c r="BF59" s="4"/>
      <c r="BM59" s="2"/>
      <c r="BO59" s="4"/>
      <c r="BQ59" s="4"/>
      <c r="CI59" s="2"/>
      <c r="CJ59" s="2"/>
      <c r="CN59" s="2"/>
      <c r="CQ59" s="2"/>
      <c r="CV59" s="4"/>
      <c r="CX59" s="4"/>
      <c r="DB59" s="2"/>
      <c r="DC59" s="2"/>
      <c r="DE59" s="2"/>
      <c r="DF59" s="2"/>
      <c r="DV59" s="2"/>
      <c r="DW59" s="2"/>
      <c r="EH59" s="4"/>
      <c r="ER59" s="2"/>
      <c r="ES59" s="2"/>
      <c r="EU59" s="3"/>
      <c r="EX59" s="4"/>
      <c r="EZ59" s="4"/>
      <c r="FQ59" s="4"/>
      <c r="FS59" s="4"/>
      <c r="GE59" s="2"/>
      <c r="GJ59" s="4"/>
      <c r="GL59" s="4"/>
      <c r="GR59" s="2"/>
      <c r="GV59" s="2"/>
      <c r="GW59" s="3"/>
      <c r="GX59" s="3"/>
      <c r="GY59" s="3"/>
      <c r="HP59" s="2"/>
      <c r="HS59" s="4"/>
      <c r="HU59" s="4"/>
      <c r="IF59" s="3"/>
      <c r="II59" s="4"/>
      <c r="IK59" s="4"/>
      <c r="IS59" s="2"/>
      <c r="IT59" s="2"/>
      <c r="IV59" s="2"/>
      <c r="IW59" s="4"/>
      <c r="IY59" s="4"/>
      <c r="JK59" s="4"/>
      <c r="JM59" s="4"/>
      <c r="JZ59" s="2"/>
      <c r="KC59" s="3"/>
      <c r="KD59" s="4"/>
      <c r="KF59" s="4"/>
      <c r="KJ59" s="4"/>
      <c r="KT59" s="2"/>
      <c r="KU59" s="2"/>
      <c r="KW59" s="2"/>
      <c r="LC59" s="2"/>
      <c r="LF59" s="2"/>
      <c r="LK59" s="2"/>
      <c r="LT59" s="4"/>
      <c r="MF59" s="3"/>
      <c r="NB59" s="2"/>
      <c r="NC59" s="2"/>
      <c r="NJ59" s="2"/>
      <c r="NN59" s="2"/>
      <c r="NO59" s="2"/>
      <c r="NT59" s="4"/>
      <c r="NV59" s="4"/>
      <c r="OA59" s="2"/>
      <c r="OB59" s="2"/>
      <c r="ON59" s="2"/>
      <c r="OR59" s="4"/>
      <c r="OT59" s="4"/>
      <c r="PD59" s="2"/>
      <c r="PH59" s="2"/>
      <c r="PQ59" s="2"/>
      <c r="PX59" s="2"/>
      <c r="PZ59" s="2"/>
      <c r="QF59" s="4"/>
      <c r="QH59" s="4"/>
      <c r="QZ59" s="2"/>
      <c r="RA59" s="2"/>
      <c r="RN59" s="4"/>
      <c r="RO59" s="4"/>
      <c r="RR59" s="2"/>
      <c r="RT59" s="2"/>
      <c r="RU59" s="2"/>
      <c r="SA59" s="4"/>
      <c r="SC59" s="4"/>
      <c r="SQ59" s="4"/>
      <c r="SS59" s="4"/>
      <c r="TG59" s="2"/>
      <c r="TH59" s="2"/>
      <c r="TI59" s="2"/>
      <c r="TO59" s="3"/>
      <c r="TU59" s="4"/>
      <c r="TW59" s="4"/>
    </row>
    <row r="60" spans="1:543">
      <c r="A60">
        <v>7644</v>
      </c>
      <c r="B60">
        <v>35</v>
      </c>
      <c r="C60">
        <v>4914878490</v>
      </c>
      <c r="D60" t="s">
        <v>228</v>
      </c>
      <c r="E60" t="s">
        <v>338</v>
      </c>
      <c r="F60" t="s">
        <v>339</v>
      </c>
      <c r="G60" s="2">
        <v>40386</v>
      </c>
      <c r="H60" t="s">
        <v>43</v>
      </c>
      <c r="I60" t="s">
        <v>331</v>
      </c>
      <c r="J60" t="s">
        <v>61</v>
      </c>
      <c r="K60" t="s">
        <v>340</v>
      </c>
      <c r="L60" t="s">
        <v>95</v>
      </c>
      <c r="M60" s="2">
        <v>39114</v>
      </c>
      <c r="N60" t="s">
        <v>341</v>
      </c>
      <c r="O60" s="2">
        <f>DATE(YEAR(G60) + P60, MONTH(G60), DAY(G60))</f>
        <v>64127</v>
      </c>
      <c r="P60">
        <v>65</v>
      </c>
      <c r="Q60" s="2"/>
      <c r="R60" t="s">
        <v>47</v>
      </c>
      <c r="S60" t="s">
        <v>102</v>
      </c>
      <c r="T60" s="2">
        <v>42735</v>
      </c>
      <c r="U60" t="s">
        <v>38</v>
      </c>
      <c r="V60" t="s">
        <v>66</v>
      </c>
      <c r="W60">
        <v>24</v>
      </c>
      <c r="X60" s="1">
        <v>43718</v>
      </c>
      <c r="Y60" s="1">
        <v>8743.6</v>
      </c>
      <c r="Z60" s="1">
        <v>34974.400000000001</v>
      </c>
      <c r="AA60" s="3">
        <v>74</v>
      </c>
      <c r="AK60" s="3"/>
      <c r="AM60" s="4"/>
      <c r="AO60" s="4"/>
      <c r="BA60" s="2"/>
      <c r="BB60" s="2"/>
      <c r="BD60" s="4"/>
      <c r="BF60" s="4"/>
      <c r="BM60" s="2"/>
      <c r="BO60" s="4"/>
      <c r="BQ60" s="4"/>
      <c r="CI60" s="2"/>
      <c r="CJ60" s="2"/>
      <c r="CN60" s="2"/>
      <c r="CQ60" s="2"/>
      <c r="CV60" s="4"/>
      <c r="CX60" s="4"/>
      <c r="CZ60" s="3"/>
      <c r="DB60" s="2"/>
      <c r="DC60" s="2"/>
      <c r="DD60" s="3"/>
      <c r="DE60" s="2"/>
      <c r="DF60" s="2"/>
      <c r="DV60" s="2"/>
      <c r="DW60" s="2"/>
      <c r="EF60" s="4"/>
      <c r="EH60" s="4"/>
      <c r="ER60" s="2"/>
      <c r="ES60" s="2"/>
      <c r="EX60" s="4"/>
      <c r="EZ60" s="4"/>
      <c r="FQ60" s="4"/>
      <c r="FS60" s="4"/>
      <c r="GE60" s="2"/>
      <c r="GJ60" s="4"/>
      <c r="GL60" s="4"/>
      <c r="GT60" s="3"/>
      <c r="GV60" s="2"/>
      <c r="GW60" s="3"/>
      <c r="GX60" s="3"/>
      <c r="HB60" s="3"/>
      <c r="HP60" s="2"/>
      <c r="HS60" s="4"/>
      <c r="HU60" s="4"/>
      <c r="II60" s="4"/>
      <c r="IK60" s="4"/>
      <c r="IS60" s="2"/>
      <c r="IT60" s="2"/>
      <c r="IV60" s="2"/>
      <c r="IW60" s="4"/>
      <c r="JH60" s="2"/>
      <c r="JK60" s="4"/>
      <c r="JM60" s="4"/>
      <c r="JZ60" s="2"/>
      <c r="KD60" s="4"/>
      <c r="KF60" s="4"/>
      <c r="KJ60" s="4"/>
      <c r="KT60" s="2"/>
      <c r="KU60" s="2"/>
      <c r="KW60" s="2"/>
      <c r="LC60" s="2"/>
      <c r="LF60" s="2"/>
      <c r="LK60" s="2"/>
      <c r="LT60" s="4"/>
      <c r="LV60" s="4"/>
      <c r="ME60" s="3"/>
      <c r="NB60" s="2"/>
      <c r="NC60" s="2"/>
      <c r="NJ60" s="2"/>
      <c r="NN60" s="2"/>
      <c r="NO60" s="2"/>
      <c r="NT60" s="4"/>
      <c r="NV60" s="4"/>
      <c r="OA60" s="2"/>
      <c r="OB60" s="2"/>
      <c r="OK60" s="3"/>
      <c r="ON60" s="2"/>
      <c r="OR60" s="4"/>
      <c r="OT60" s="4"/>
      <c r="PD60" s="2"/>
      <c r="PH60" s="2"/>
      <c r="PQ60" s="2"/>
      <c r="PX60" s="2"/>
      <c r="PZ60" s="2"/>
      <c r="QF60" s="4"/>
      <c r="QH60" s="4"/>
      <c r="QZ60" s="2"/>
      <c r="RN60" s="4"/>
      <c r="RO60" s="4"/>
      <c r="RR60" s="2"/>
      <c r="RT60" s="2"/>
      <c r="RU60" s="2"/>
      <c r="SA60" s="4"/>
      <c r="SC60" s="4"/>
      <c r="SN60" s="2"/>
      <c r="SQ60" s="4"/>
      <c r="SS60" s="4"/>
      <c r="TG60" s="2"/>
      <c r="TH60" s="2"/>
      <c r="TI60" s="2"/>
      <c r="TP60" s="3"/>
      <c r="TU60" s="4"/>
      <c r="TW60" s="4"/>
    </row>
    <row r="61" spans="1:543">
      <c r="A61">
        <v>4488</v>
      </c>
      <c r="B61">
        <v>8899</v>
      </c>
      <c r="C61">
        <v>1100644068</v>
      </c>
      <c r="D61" t="s">
        <v>91</v>
      </c>
      <c r="E61" t="s">
        <v>342</v>
      </c>
      <c r="F61" t="s">
        <v>343</v>
      </c>
      <c r="G61" s="2">
        <v>29525</v>
      </c>
      <c r="H61" t="s">
        <v>43</v>
      </c>
      <c r="I61" t="s">
        <v>130</v>
      </c>
      <c r="J61" t="s">
        <v>32</v>
      </c>
      <c r="K61" t="s">
        <v>344</v>
      </c>
      <c r="L61" t="s">
        <v>77</v>
      </c>
      <c r="N61" t="s">
        <v>345</v>
      </c>
      <c r="O61" s="2">
        <f>DATE(YEAR(G61) + P61, MONTH(G61), DAY(G61))</f>
        <v>52535</v>
      </c>
      <c r="P61">
        <v>63</v>
      </c>
      <c r="Q61" s="2">
        <v>45602</v>
      </c>
      <c r="R61" t="s">
        <v>36</v>
      </c>
      <c r="S61" t="s">
        <v>181</v>
      </c>
      <c r="T61" s="2">
        <v>25899</v>
      </c>
      <c r="U61" t="s">
        <v>103</v>
      </c>
      <c r="V61" t="s">
        <v>66</v>
      </c>
      <c r="W61">
        <v>25</v>
      </c>
      <c r="X61" s="1">
        <v>59824</v>
      </c>
      <c r="Y61" s="1">
        <v>11964.800000000001</v>
      </c>
      <c r="Z61" s="1">
        <v>47859.199999999997</v>
      </c>
      <c r="AA61" s="3">
        <v>41</v>
      </c>
      <c r="AK61" s="3"/>
      <c r="AM61" s="4"/>
      <c r="AO61" s="4"/>
      <c r="BA61" s="2"/>
      <c r="BB61" s="2"/>
      <c r="BD61" s="4"/>
      <c r="BF61" s="4"/>
      <c r="BM61" s="2"/>
      <c r="BO61" s="4"/>
      <c r="BQ61" s="4"/>
      <c r="CI61" s="2"/>
      <c r="CJ61" s="2"/>
      <c r="CL61" s="3"/>
      <c r="CN61" s="2"/>
      <c r="CQ61" s="2"/>
      <c r="CV61" s="4"/>
      <c r="DB61" s="2"/>
      <c r="DC61" s="2"/>
      <c r="DE61" s="2"/>
      <c r="DF61" s="2"/>
      <c r="DV61" s="2"/>
      <c r="DW61" s="2"/>
      <c r="EF61" s="4"/>
      <c r="EH61" s="4"/>
      <c r="ER61" s="2"/>
      <c r="ES61" s="2"/>
      <c r="EX61" s="4"/>
      <c r="FQ61" s="4"/>
      <c r="GG61" s="3"/>
      <c r="GJ61" s="4"/>
      <c r="GL61" s="4"/>
      <c r="GR61" s="2"/>
      <c r="GS61" s="3"/>
      <c r="GT61" s="3"/>
      <c r="GV61" s="2"/>
      <c r="GX61" s="3"/>
      <c r="HB61" s="3"/>
      <c r="HP61" s="2"/>
      <c r="HS61" s="4"/>
      <c r="HU61" s="4"/>
      <c r="II61" s="4"/>
      <c r="IK61" s="4"/>
      <c r="IS61" s="2"/>
      <c r="IT61" s="2"/>
      <c r="IW61" s="4"/>
      <c r="IY61" s="4"/>
      <c r="JH61" s="2"/>
      <c r="JK61" s="4"/>
      <c r="JM61" s="4"/>
      <c r="JZ61" s="2"/>
      <c r="KD61" s="4"/>
      <c r="KF61" s="4"/>
      <c r="KJ61" s="4"/>
      <c r="KU61" s="2"/>
      <c r="KW61" s="2"/>
      <c r="LC61" s="2"/>
      <c r="LF61" s="2"/>
      <c r="LK61" s="2"/>
      <c r="LT61" s="4"/>
      <c r="LV61" s="4"/>
      <c r="ME61" s="3"/>
      <c r="NB61" s="2"/>
      <c r="NC61" s="2"/>
      <c r="NG61" s="5"/>
      <c r="NJ61" s="2"/>
      <c r="NN61" s="2"/>
      <c r="NO61" s="2"/>
      <c r="NT61" s="4"/>
      <c r="OA61" s="2"/>
      <c r="OB61" s="2"/>
      <c r="ON61" s="2"/>
      <c r="OR61" s="4"/>
      <c r="OT61" s="4"/>
      <c r="PD61" s="2"/>
      <c r="PH61" s="2"/>
      <c r="PX61" s="2"/>
      <c r="PZ61" s="2"/>
      <c r="QF61" s="4"/>
      <c r="QH61" s="4"/>
      <c r="QZ61" s="2"/>
      <c r="RA61" s="2"/>
      <c r="RN61" s="4"/>
      <c r="RO61" s="4"/>
      <c r="RR61" s="2"/>
      <c r="SA61" s="4"/>
      <c r="SC61" s="4"/>
      <c r="SM61" s="3"/>
      <c r="SN61" s="2"/>
      <c r="SQ61" s="4"/>
      <c r="SS61" s="4"/>
      <c r="TG61" s="2"/>
      <c r="TH61" s="2"/>
      <c r="TI61" s="2"/>
      <c r="TU61" s="4"/>
      <c r="TW61" s="4"/>
    </row>
    <row r="62" spans="1:543">
      <c r="A62">
        <v>6206</v>
      </c>
      <c r="B62">
        <v>2409</v>
      </c>
      <c r="C62">
        <v>5668437764</v>
      </c>
      <c r="D62" t="s">
        <v>316</v>
      </c>
      <c r="E62" t="s">
        <v>346</v>
      </c>
      <c r="F62" t="s">
        <v>347</v>
      </c>
      <c r="G62" s="2">
        <v>35989</v>
      </c>
      <c r="H62" t="s">
        <v>43</v>
      </c>
      <c r="I62" t="s">
        <v>124</v>
      </c>
      <c r="J62" t="s">
        <v>32</v>
      </c>
      <c r="K62" t="s">
        <v>348</v>
      </c>
      <c r="L62" t="s">
        <v>95</v>
      </c>
      <c r="M62" s="2"/>
      <c r="N62" t="s">
        <v>349</v>
      </c>
      <c r="O62" s="2">
        <f>DATE(YEAR(G62) + P62, MONTH(G62), DAY(G62))</f>
        <v>57904</v>
      </c>
      <c r="P62">
        <v>60</v>
      </c>
      <c r="Q62" s="2"/>
      <c r="R62" t="s">
        <v>47</v>
      </c>
      <c r="S62" t="s">
        <v>64</v>
      </c>
      <c r="T62" s="2">
        <v>32477</v>
      </c>
      <c r="U62" t="s">
        <v>133</v>
      </c>
      <c r="V62" t="s">
        <v>56</v>
      </c>
      <c r="W62">
        <v>19</v>
      </c>
      <c r="X62" s="1">
        <v>25710</v>
      </c>
      <c r="Y62" s="1">
        <v>5142</v>
      </c>
      <c r="Z62" s="1">
        <v>20568</v>
      </c>
      <c r="AA62" s="3">
        <v>418</v>
      </c>
      <c r="AK62" s="3"/>
      <c r="AM62" s="4"/>
      <c r="AO62" s="4"/>
      <c r="BB62" s="2"/>
      <c r="BD62" s="4"/>
      <c r="BF62" s="4"/>
      <c r="BM62" s="2"/>
      <c r="BO62" s="4"/>
      <c r="BQ62" s="4"/>
      <c r="CI62" s="2"/>
      <c r="CJ62" s="2"/>
      <c r="CN62" s="2"/>
      <c r="CQ62" s="2"/>
      <c r="CV62" s="4"/>
      <c r="DB62" s="2"/>
      <c r="DC62" s="2"/>
      <c r="DE62" s="2"/>
      <c r="DV62" s="2"/>
      <c r="EF62" s="4"/>
      <c r="EH62" s="4"/>
      <c r="ER62" s="2"/>
      <c r="ES62" s="2"/>
      <c r="EX62" s="4"/>
      <c r="EZ62" s="4"/>
      <c r="FQ62" s="4"/>
      <c r="FS62" s="4"/>
      <c r="GE62" s="2"/>
      <c r="GJ62" s="4"/>
      <c r="GL62" s="4"/>
      <c r="GR62" s="2"/>
      <c r="GS62" s="3"/>
      <c r="GU62" s="3"/>
      <c r="GV62" s="2"/>
      <c r="HB62" s="3"/>
      <c r="HP62" s="2"/>
      <c r="HS62" s="4"/>
      <c r="HU62" s="4"/>
      <c r="IF62" s="3"/>
      <c r="II62" s="4"/>
      <c r="IK62" s="4"/>
      <c r="IS62" s="2"/>
      <c r="IT62" s="2"/>
      <c r="IV62" s="2"/>
      <c r="IW62" s="4"/>
      <c r="IY62" s="4"/>
      <c r="JH62" s="2"/>
      <c r="JK62" s="4"/>
      <c r="JZ62" s="2"/>
      <c r="KA62" s="3"/>
      <c r="KD62" s="4"/>
      <c r="KF62" s="4"/>
      <c r="KJ62" s="4"/>
      <c r="KT62" s="2"/>
      <c r="KU62" s="2"/>
      <c r="KW62" s="2"/>
      <c r="LC62" s="2"/>
      <c r="LH62" s="3"/>
      <c r="LK62" s="2"/>
      <c r="LT62" s="4"/>
      <c r="LV62" s="4"/>
      <c r="NB62" s="2"/>
      <c r="NC62" s="2"/>
      <c r="NJ62" s="2"/>
      <c r="NN62" s="2"/>
      <c r="NO62" s="2"/>
      <c r="NT62" s="4"/>
      <c r="NV62" s="4"/>
      <c r="OA62" s="2"/>
      <c r="OB62" s="2"/>
      <c r="OJ62" s="3"/>
      <c r="ON62" s="2"/>
      <c r="OT62" s="4"/>
      <c r="PD62" s="2"/>
      <c r="PH62" s="2"/>
      <c r="PQ62" s="2"/>
      <c r="PX62" s="2"/>
      <c r="PZ62" s="2"/>
      <c r="QF62" s="4"/>
      <c r="QZ62" s="2"/>
      <c r="RA62" s="2"/>
      <c r="RO62" s="4"/>
      <c r="RR62" s="2"/>
      <c r="RT62" s="2"/>
      <c r="RU62" s="2"/>
      <c r="SA62" s="4"/>
      <c r="SC62" s="4"/>
      <c r="SS62" s="4"/>
      <c r="TG62" s="2"/>
      <c r="TH62" s="2"/>
      <c r="TI62" s="2"/>
      <c r="TU62" s="4"/>
      <c r="TW62" s="4"/>
    </row>
    <row r="63" spans="1:543">
      <c r="A63">
        <v>3297</v>
      </c>
      <c r="B63">
        <v>4586</v>
      </c>
      <c r="C63">
        <v>4674021008</v>
      </c>
      <c r="D63" t="s">
        <v>185</v>
      </c>
      <c r="E63" t="s">
        <v>350</v>
      </c>
      <c r="F63" t="s">
        <v>351</v>
      </c>
      <c r="G63" s="2">
        <v>40304</v>
      </c>
      <c r="H63" t="s">
        <v>30</v>
      </c>
      <c r="I63" t="s">
        <v>236</v>
      </c>
      <c r="J63" t="s">
        <v>61</v>
      </c>
      <c r="K63" t="s">
        <v>352</v>
      </c>
      <c r="L63" t="s">
        <v>34</v>
      </c>
      <c r="M63" s="2">
        <v>44182</v>
      </c>
      <c r="N63" t="s">
        <v>353</v>
      </c>
      <c r="O63" s="2">
        <f>DATE(YEAR(G63) + P63, MONTH(G63), DAY(G63))</f>
        <v>65872</v>
      </c>
      <c r="P63">
        <v>70</v>
      </c>
      <c r="Q63" s="2"/>
      <c r="R63" t="s">
        <v>47</v>
      </c>
      <c r="S63" t="s">
        <v>37</v>
      </c>
      <c r="T63" s="2">
        <v>25202</v>
      </c>
      <c r="U63" t="s">
        <v>38</v>
      </c>
      <c r="V63" t="s">
        <v>39</v>
      </c>
      <c r="W63">
        <v>18</v>
      </c>
      <c r="X63" s="1">
        <v>25342</v>
      </c>
      <c r="Y63" s="1">
        <v>5068.4000000000005</v>
      </c>
      <c r="Z63" s="1">
        <v>20273.599999999999</v>
      </c>
      <c r="AA63" s="3">
        <v>643</v>
      </c>
      <c r="AK63" s="3"/>
      <c r="AM63" s="4"/>
      <c r="AO63" s="4"/>
      <c r="BA63" s="2"/>
      <c r="BB63" s="2"/>
      <c r="BD63" s="4"/>
      <c r="BF63" s="4"/>
      <c r="BM63" s="2"/>
      <c r="BO63" s="4"/>
      <c r="BQ63" s="4"/>
      <c r="CI63" s="2"/>
      <c r="CJ63" s="2"/>
      <c r="CM63" s="3"/>
      <c r="CN63" s="2"/>
      <c r="CQ63" s="2"/>
      <c r="CV63" s="4"/>
      <c r="CX63" s="4"/>
      <c r="DB63" s="2"/>
      <c r="DC63" s="2"/>
      <c r="DE63" s="2"/>
      <c r="DF63" s="2"/>
      <c r="DV63" s="2"/>
      <c r="DW63" s="2"/>
      <c r="EH63" s="4"/>
      <c r="ER63" s="2"/>
      <c r="ES63" s="2"/>
      <c r="EX63" s="4"/>
      <c r="EZ63" s="4"/>
      <c r="FQ63" s="4"/>
      <c r="FS63" s="4"/>
      <c r="GE63" s="2"/>
      <c r="GG63" s="3"/>
      <c r="GJ63" s="4"/>
      <c r="GR63" s="2"/>
      <c r="GT63" s="3"/>
      <c r="GV63" s="2"/>
      <c r="HB63" s="3"/>
      <c r="HO63" s="3"/>
      <c r="HP63" s="2"/>
      <c r="HS63" s="4"/>
      <c r="HU63" s="4"/>
      <c r="IK63" s="4"/>
      <c r="IS63" s="2"/>
      <c r="IT63" s="2"/>
      <c r="IV63" s="2"/>
      <c r="IW63" s="4"/>
      <c r="IY63" s="4"/>
      <c r="JK63" s="4"/>
      <c r="JM63" s="4"/>
      <c r="JZ63" s="2"/>
      <c r="KD63" s="4"/>
      <c r="KF63" s="4"/>
      <c r="KJ63" s="4"/>
      <c r="KT63" s="2"/>
      <c r="KU63" s="2"/>
      <c r="KW63" s="2"/>
      <c r="LC63" s="2"/>
      <c r="LF63" s="2"/>
      <c r="LT63" s="4"/>
      <c r="LV63" s="4"/>
      <c r="ML63" s="3"/>
      <c r="NB63" s="2"/>
      <c r="NC63" s="2"/>
      <c r="NG63" s="5"/>
      <c r="NJ63" s="2"/>
      <c r="NN63" s="2"/>
      <c r="NO63" s="2"/>
      <c r="NT63" s="4"/>
      <c r="NV63" s="4"/>
      <c r="OA63" s="2"/>
      <c r="OB63" s="2"/>
      <c r="ON63" s="2"/>
      <c r="OO63" s="3"/>
      <c r="OT63" s="4"/>
      <c r="PD63" s="2"/>
      <c r="PH63" s="2"/>
      <c r="PN63" s="3"/>
      <c r="PQ63" s="2"/>
      <c r="PX63" s="2"/>
      <c r="PZ63" s="2"/>
      <c r="QF63" s="4"/>
      <c r="QH63" s="4"/>
      <c r="QZ63" s="2"/>
      <c r="RA63" s="2"/>
      <c r="RN63" s="4"/>
      <c r="RO63" s="4"/>
      <c r="RR63" s="2"/>
      <c r="RT63" s="2"/>
      <c r="RU63" s="2"/>
      <c r="SA63" s="4"/>
      <c r="SC63" s="4"/>
      <c r="SN63" s="2"/>
      <c r="SQ63" s="4"/>
      <c r="SS63" s="4"/>
      <c r="TG63" s="2"/>
      <c r="TH63" s="2"/>
      <c r="TI63" s="2"/>
      <c r="TU63" s="4"/>
      <c r="TW63" s="4"/>
    </row>
    <row r="64" spans="1:543">
      <c r="A64">
        <v>3660</v>
      </c>
      <c r="B64">
        <v>8074</v>
      </c>
      <c r="C64">
        <v>9472215946</v>
      </c>
      <c r="D64" t="s">
        <v>72</v>
      </c>
      <c r="E64" t="s">
        <v>354</v>
      </c>
      <c r="F64" t="s">
        <v>355</v>
      </c>
      <c r="G64" s="2">
        <v>38991</v>
      </c>
      <c r="H64" t="s">
        <v>43</v>
      </c>
      <c r="I64" t="s">
        <v>236</v>
      </c>
      <c r="J64" t="s">
        <v>61</v>
      </c>
      <c r="K64" t="s">
        <v>356</v>
      </c>
      <c r="L64" t="s">
        <v>77</v>
      </c>
      <c r="M64" s="2">
        <v>41380</v>
      </c>
      <c r="N64" t="s">
        <v>357</v>
      </c>
      <c r="O64" s="2">
        <f>DATE(YEAR(G64) + P64, MONTH(G64), DAY(G64))</f>
        <v>62732</v>
      </c>
      <c r="P64">
        <v>65</v>
      </c>
      <c r="Q64" s="2"/>
      <c r="R64" t="s">
        <v>47</v>
      </c>
      <c r="S64" t="s">
        <v>181</v>
      </c>
      <c r="T64" s="2">
        <v>41965</v>
      </c>
      <c r="U64" t="s">
        <v>133</v>
      </c>
      <c r="V64" t="s">
        <v>66</v>
      </c>
      <c r="W64">
        <v>1</v>
      </c>
      <c r="X64" s="1">
        <v>20710</v>
      </c>
      <c r="Y64" s="1">
        <v>4142</v>
      </c>
      <c r="Z64" s="1">
        <v>16568</v>
      </c>
      <c r="AA64" s="3">
        <v>626</v>
      </c>
      <c r="AK64" s="3"/>
      <c r="AM64" s="4"/>
      <c r="AO64" s="4"/>
      <c r="BA64" s="2"/>
      <c r="BD64" s="4"/>
      <c r="BF64" s="4"/>
      <c r="BM64" s="2"/>
      <c r="BO64" s="4"/>
      <c r="BQ64" s="4"/>
      <c r="CI64" s="2"/>
      <c r="CJ64" s="2"/>
      <c r="CN64" s="2"/>
      <c r="CQ64" s="2"/>
      <c r="CV64" s="4"/>
      <c r="CX64" s="4"/>
      <c r="DB64" s="2"/>
      <c r="DC64" s="2"/>
      <c r="DE64" s="2"/>
      <c r="DF64" s="2"/>
      <c r="DV64" s="2"/>
      <c r="DW64" s="2"/>
      <c r="EF64" s="4"/>
      <c r="EH64" s="4"/>
      <c r="ER64" s="2"/>
      <c r="ES64" s="2"/>
      <c r="EX64" s="4"/>
      <c r="EZ64" s="4"/>
      <c r="FQ64" s="4"/>
      <c r="FS64" s="4"/>
      <c r="GE64" s="2"/>
      <c r="GJ64" s="4"/>
      <c r="GL64" s="4"/>
      <c r="GR64" s="2"/>
      <c r="GT64" s="3"/>
      <c r="GU64" s="3"/>
      <c r="GV64" s="2"/>
      <c r="GX64" s="3"/>
      <c r="GY64" s="3"/>
      <c r="HB64" s="3"/>
      <c r="HP64" s="2"/>
      <c r="HS64" s="4"/>
      <c r="HU64" s="4"/>
      <c r="II64" s="4"/>
      <c r="IS64" s="2"/>
      <c r="IT64" s="2"/>
      <c r="IV64" s="2"/>
      <c r="IW64" s="4"/>
      <c r="JH64" s="2"/>
      <c r="JK64" s="4"/>
      <c r="JZ64" s="2"/>
      <c r="KD64" s="4"/>
      <c r="KF64" s="4"/>
      <c r="KJ64" s="4"/>
      <c r="KT64" s="2"/>
      <c r="KU64" s="2"/>
      <c r="KW64" s="2"/>
      <c r="LC64" s="2"/>
      <c r="LF64" s="2"/>
      <c r="LK64" s="2"/>
      <c r="LT64" s="4"/>
      <c r="LV64" s="4"/>
      <c r="MA64" s="3"/>
      <c r="MD64" s="3"/>
      <c r="MG64" s="3"/>
      <c r="NB64" s="2"/>
      <c r="NC64" s="2"/>
      <c r="NH64" s="3"/>
      <c r="NJ64" s="2"/>
      <c r="NN64" s="2"/>
      <c r="NT64" s="4"/>
      <c r="NV64" s="4"/>
      <c r="OA64" s="2"/>
      <c r="OB64" s="2"/>
      <c r="ON64" s="2"/>
      <c r="OR64" s="4"/>
      <c r="OT64" s="4"/>
      <c r="PD64" s="2"/>
      <c r="PH64" s="2"/>
      <c r="PQ64" s="2"/>
      <c r="PX64" s="2"/>
      <c r="PY64" s="3"/>
      <c r="PZ64" s="2"/>
      <c r="QF64" s="4"/>
      <c r="QH64" s="4"/>
      <c r="QZ64" s="2"/>
      <c r="RA64" s="2"/>
      <c r="RN64" s="4"/>
      <c r="RO64" s="4"/>
      <c r="RR64" s="2"/>
      <c r="RT64" s="2"/>
      <c r="RU64" s="2"/>
      <c r="SA64" s="4"/>
      <c r="SC64" s="4"/>
      <c r="SS64" s="4"/>
      <c r="TG64" s="2"/>
      <c r="TH64" s="2"/>
      <c r="TN64" s="3"/>
      <c r="TU64" s="4"/>
    </row>
    <row r="65" spans="1:543">
      <c r="A65">
        <v>9081</v>
      </c>
      <c r="B65">
        <v>8036</v>
      </c>
      <c r="C65">
        <v>3536070284</v>
      </c>
      <c r="D65" t="s">
        <v>121</v>
      </c>
      <c r="E65" t="s">
        <v>358</v>
      </c>
      <c r="F65" t="s">
        <v>359</v>
      </c>
      <c r="G65" s="2">
        <v>40342</v>
      </c>
      <c r="H65" t="s">
        <v>43</v>
      </c>
      <c r="I65" t="s">
        <v>148</v>
      </c>
      <c r="J65" t="s">
        <v>32</v>
      </c>
      <c r="K65" t="s">
        <v>360</v>
      </c>
      <c r="L65" t="s">
        <v>77</v>
      </c>
      <c r="M65" s="2"/>
      <c r="N65" t="s">
        <v>361</v>
      </c>
      <c r="O65" s="2">
        <f>DATE(YEAR(G65) + P65, MONTH(G65), DAY(G65))</f>
        <v>64449</v>
      </c>
      <c r="P65">
        <v>66</v>
      </c>
      <c r="Q65" s="2"/>
      <c r="R65" t="s">
        <v>47</v>
      </c>
      <c r="S65" t="s">
        <v>64</v>
      </c>
      <c r="T65" s="2">
        <v>36738</v>
      </c>
      <c r="U65" t="s">
        <v>133</v>
      </c>
      <c r="V65" t="s">
        <v>66</v>
      </c>
      <c r="W65">
        <v>4</v>
      </c>
      <c r="X65" s="1">
        <v>4312</v>
      </c>
      <c r="Y65" s="1">
        <v>1862.4</v>
      </c>
      <c r="Z65" s="1">
        <v>3449.6</v>
      </c>
      <c r="AA65" s="3">
        <v>94</v>
      </c>
      <c r="AK65" s="3"/>
      <c r="AM65" s="4"/>
      <c r="AO65" s="4"/>
      <c r="BA65" s="2"/>
      <c r="BD65" s="4"/>
      <c r="BF65" s="4"/>
      <c r="BM65" s="2"/>
      <c r="BO65" s="4"/>
      <c r="BQ65" s="4"/>
      <c r="CI65" s="2"/>
      <c r="CJ65" s="2"/>
      <c r="CL65" s="3"/>
      <c r="CN65" s="2"/>
      <c r="CQ65" s="2"/>
      <c r="CV65" s="4"/>
      <c r="CX65" s="4"/>
      <c r="DB65" s="2"/>
      <c r="DC65" s="2"/>
      <c r="DE65" s="2"/>
      <c r="DF65" s="2"/>
      <c r="DG65" s="3"/>
      <c r="DV65" s="2"/>
      <c r="DW65" s="2"/>
      <c r="EF65" s="4"/>
      <c r="EH65" s="4"/>
      <c r="ER65" s="2"/>
      <c r="ES65" s="2"/>
      <c r="EX65" s="4"/>
      <c r="EZ65" s="4"/>
      <c r="FQ65" s="4"/>
      <c r="FS65" s="4"/>
      <c r="GE65" s="2"/>
      <c r="GJ65" s="4"/>
      <c r="GL65" s="4"/>
      <c r="GR65" s="2"/>
      <c r="GS65" s="3"/>
      <c r="GT65" s="3"/>
      <c r="GU65" s="3"/>
      <c r="GV65" s="2"/>
      <c r="GY65" s="3"/>
      <c r="HB65" s="3"/>
      <c r="HP65" s="2"/>
      <c r="HS65" s="4"/>
      <c r="HU65" s="4"/>
      <c r="II65" s="4"/>
      <c r="IK65" s="4"/>
      <c r="IS65" s="2"/>
      <c r="IT65" s="2"/>
      <c r="IV65" s="2"/>
      <c r="IW65" s="4"/>
      <c r="JH65" s="2"/>
      <c r="JK65" s="4"/>
      <c r="JM65" s="4"/>
      <c r="JZ65" s="2"/>
      <c r="KD65" s="4"/>
      <c r="KF65" s="4"/>
      <c r="KJ65" s="4"/>
      <c r="KT65" s="2"/>
      <c r="KU65" s="2"/>
      <c r="KW65" s="2"/>
      <c r="LC65" s="2"/>
      <c r="LF65" s="2"/>
      <c r="LK65" s="2"/>
      <c r="LT65" s="4"/>
      <c r="LV65" s="4"/>
      <c r="NB65" s="2"/>
      <c r="NC65" s="2"/>
      <c r="NJ65" s="2"/>
      <c r="NN65" s="2"/>
      <c r="NO65" s="2"/>
      <c r="NT65" s="4"/>
      <c r="OA65" s="2"/>
      <c r="OB65" s="2"/>
      <c r="ON65" s="2"/>
      <c r="OR65" s="4"/>
      <c r="OT65" s="4"/>
      <c r="PD65" s="2"/>
      <c r="PH65" s="2"/>
      <c r="PI65" s="3"/>
      <c r="PQ65" s="2"/>
      <c r="PX65" s="2"/>
      <c r="PZ65" s="2"/>
      <c r="QF65" s="4"/>
      <c r="QH65" s="4"/>
      <c r="QZ65" s="2"/>
      <c r="RA65" s="2"/>
      <c r="RM65" s="3"/>
      <c r="RN65" s="4"/>
      <c r="RR65" s="2"/>
      <c r="RT65" s="2"/>
      <c r="RU65" s="2"/>
      <c r="SA65" s="4"/>
      <c r="SC65" s="4"/>
      <c r="SN65" s="2"/>
      <c r="SQ65" s="4"/>
      <c r="SS65" s="4"/>
      <c r="TG65" s="2"/>
      <c r="TH65" s="2"/>
      <c r="TI65" s="2"/>
      <c r="TU65" s="4"/>
      <c r="TW65" s="4"/>
    </row>
    <row r="66" spans="1:543">
      <c r="A66">
        <v>998</v>
      </c>
      <c r="B66">
        <v>3126</v>
      </c>
      <c r="C66" s="3" t="s">
        <v>362</v>
      </c>
      <c r="D66" t="s">
        <v>363</v>
      </c>
      <c r="E66" t="s">
        <v>364</v>
      </c>
      <c r="F66" t="s">
        <v>365</v>
      </c>
      <c r="G66" s="2">
        <v>40156</v>
      </c>
      <c r="H66" t="s">
        <v>43</v>
      </c>
      <c r="I66" t="s">
        <v>148</v>
      </c>
      <c r="J66" t="s">
        <v>32</v>
      </c>
      <c r="K66" t="s">
        <v>366</v>
      </c>
      <c r="L66" t="s">
        <v>95</v>
      </c>
      <c r="M66" s="2"/>
      <c r="N66" t="s">
        <v>367</v>
      </c>
      <c r="O66" s="2">
        <f>DATE(YEAR(G66) + P66, MONTH(G66), DAY(G66))</f>
        <v>62071</v>
      </c>
      <c r="P66">
        <v>60</v>
      </c>
      <c r="Q66" s="2"/>
      <c r="R66" t="s">
        <v>47</v>
      </c>
      <c r="S66" t="s">
        <v>102</v>
      </c>
      <c r="T66" s="2">
        <v>39485</v>
      </c>
      <c r="U66" t="s">
        <v>38</v>
      </c>
      <c r="V66" t="s">
        <v>38</v>
      </c>
      <c r="W66">
        <v>6</v>
      </c>
      <c r="X66" s="1">
        <v>89548</v>
      </c>
      <c r="Y66" s="1">
        <v>17909.600000000002</v>
      </c>
      <c r="Z66" s="1">
        <v>71638.399999999994</v>
      </c>
      <c r="AA66" s="3">
        <v>48</v>
      </c>
      <c r="AK66" s="3"/>
      <c r="AM66" s="4"/>
      <c r="AO66" s="4"/>
      <c r="BA66" s="2"/>
      <c r="BD66" s="4"/>
      <c r="BF66" s="4"/>
      <c r="BM66" s="2"/>
      <c r="BO66" s="4"/>
      <c r="BQ66" s="4"/>
      <c r="CI66" s="2"/>
      <c r="CJ66" s="2"/>
      <c r="CP66" s="3"/>
      <c r="CQ66" s="2"/>
      <c r="CV66" s="4"/>
      <c r="CX66" s="4"/>
      <c r="DB66" s="2"/>
      <c r="DC66" s="2"/>
      <c r="DE66" s="2"/>
      <c r="DF66" s="2"/>
      <c r="DV66" s="2"/>
      <c r="DW66" s="2"/>
      <c r="EF66" s="4"/>
      <c r="EH66" s="4"/>
      <c r="ER66" s="2"/>
      <c r="ES66" s="2"/>
      <c r="EX66" s="4"/>
      <c r="EZ66" s="4"/>
      <c r="FQ66" s="4"/>
      <c r="FS66" s="4"/>
      <c r="GE66" s="2"/>
      <c r="GJ66" s="4"/>
      <c r="GL66" s="4"/>
      <c r="GR66" s="2"/>
      <c r="GS66" s="3"/>
      <c r="GV66" s="2"/>
      <c r="GX66" s="3"/>
      <c r="HO66" s="3"/>
      <c r="HP66" s="2"/>
      <c r="HS66" s="4"/>
      <c r="HU66" s="4"/>
      <c r="II66" s="4"/>
      <c r="IK66" s="4"/>
      <c r="IS66" s="2"/>
      <c r="IT66" s="2"/>
      <c r="IV66" s="2"/>
      <c r="IW66" s="4"/>
      <c r="IY66" s="4"/>
      <c r="JH66" s="2"/>
      <c r="JK66" s="4"/>
      <c r="JM66" s="4"/>
      <c r="JZ66" s="2"/>
      <c r="KD66" s="4"/>
      <c r="KF66" s="4"/>
      <c r="KJ66" s="4"/>
      <c r="KT66" s="2"/>
      <c r="KU66" s="2"/>
      <c r="LC66" s="2"/>
      <c r="LF66" s="2"/>
      <c r="LK66" s="2"/>
      <c r="LT66" s="4"/>
      <c r="LV66" s="4"/>
      <c r="NC66" s="2"/>
      <c r="NJ66" s="2"/>
      <c r="NN66" s="2"/>
      <c r="NO66" s="2"/>
      <c r="NT66" s="4"/>
      <c r="NV66" s="4"/>
      <c r="OA66" s="2"/>
      <c r="OB66" s="2"/>
      <c r="ON66" s="2"/>
      <c r="OO66" s="3"/>
      <c r="OR66" s="4"/>
      <c r="OT66" s="4"/>
      <c r="PD66" s="2"/>
      <c r="PH66" s="2"/>
      <c r="PQ66" s="2"/>
      <c r="PX66" s="2"/>
      <c r="PZ66" s="2"/>
      <c r="QF66" s="4"/>
      <c r="QH66" s="4"/>
      <c r="QZ66" s="2"/>
      <c r="RA66" s="2"/>
      <c r="RN66" s="4"/>
      <c r="RO66" s="4"/>
      <c r="RR66" s="2"/>
      <c r="RT66" s="2"/>
      <c r="RU66" s="2"/>
      <c r="SA66" s="4"/>
      <c r="SC66" s="4"/>
      <c r="SM66" s="3"/>
      <c r="SN66" s="2"/>
      <c r="SQ66" s="4"/>
      <c r="SS66" s="4"/>
      <c r="TG66" s="2"/>
      <c r="TH66" s="2"/>
      <c r="TI66" s="2"/>
      <c r="TU66" s="4"/>
      <c r="TW66" s="4"/>
    </row>
    <row r="67" spans="1:543">
      <c r="A67">
        <v>2872</v>
      </c>
      <c r="B67">
        <v>7911</v>
      </c>
      <c r="C67" s="3" t="s">
        <v>368</v>
      </c>
      <c r="D67" t="s">
        <v>67</v>
      </c>
      <c r="E67" t="s">
        <v>369</v>
      </c>
      <c r="F67" t="s">
        <v>370</v>
      </c>
      <c r="G67" s="2">
        <v>40510</v>
      </c>
      <c r="H67" t="s">
        <v>30</v>
      </c>
      <c r="I67" t="s">
        <v>279</v>
      </c>
      <c r="J67" t="s">
        <v>32</v>
      </c>
      <c r="K67" t="s">
        <v>371</v>
      </c>
      <c r="L67" t="s">
        <v>77</v>
      </c>
      <c r="M67" s="2"/>
      <c r="N67" t="s">
        <v>372</v>
      </c>
      <c r="O67" s="2">
        <f>DATE(YEAR(G67) + P67, MONTH(G67), DAY(G67))</f>
        <v>63156</v>
      </c>
      <c r="P67">
        <v>62</v>
      </c>
      <c r="Q67" s="2"/>
      <c r="R67" t="s">
        <v>47</v>
      </c>
      <c r="S67" t="s">
        <v>109</v>
      </c>
      <c r="T67" s="2">
        <v>44074</v>
      </c>
      <c r="U67" t="s">
        <v>133</v>
      </c>
      <c r="V67" t="s">
        <v>66</v>
      </c>
      <c r="W67">
        <v>24</v>
      </c>
      <c r="X67" s="1">
        <v>69439</v>
      </c>
      <c r="Y67" s="1">
        <v>13887.800000000001</v>
      </c>
      <c r="Z67" s="1">
        <v>55551.199999999997</v>
      </c>
      <c r="AA67" s="3">
        <v>729</v>
      </c>
      <c r="AK67" s="3"/>
      <c r="AM67" s="4"/>
      <c r="AO67" s="4"/>
      <c r="BA67" s="2"/>
      <c r="BB67" s="2"/>
      <c r="BD67" s="4"/>
      <c r="BF67" s="4"/>
      <c r="BM67" s="2"/>
      <c r="BO67" s="4"/>
      <c r="BQ67" s="4"/>
      <c r="CI67" s="2"/>
      <c r="CJ67" s="2"/>
      <c r="CN67" s="2"/>
      <c r="CQ67" s="2"/>
      <c r="CV67" s="4"/>
      <c r="CX67" s="4"/>
      <c r="DB67" s="2"/>
      <c r="DC67" s="2"/>
      <c r="DE67" s="2"/>
      <c r="DF67" s="2"/>
      <c r="DV67" s="2"/>
      <c r="DW67" s="2"/>
      <c r="EF67" s="4"/>
      <c r="EH67" s="4"/>
      <c r="EV67" s="3"/>
      <c r="EX67" s="4"/>
      <c r="EZ67" s="4"/>
      <c r="FQ67" s="4"/>
      <c r="FS67" s="4"/>
      <c r="GE67" s="2"/>
      <c r="GJ67" s="4"/>
      <c r="GL67" s="4"/>
      <c r="GR67" s="2"/>
      <c r="GT67" s="3"/>
      <c r="GU67" s="3"/>
      <c r="GV67" s="2"/>
      <c r="GW67" s="3"/>
      <c r="HB67" s="3"/>
      <c r="HO67" s="3"/>
      <c r="HP67" s="2"/>
      <c r="HS67" s="4"/>
      <c r="HU67" s="4"/>
      <c r="II67" s="4"/>
      <c r="IK67" s="4"/>
      <c r="IS67" s="2"/>
      <c r="IT67" s="2"/>
      <c r="IV67" s="2"/>
      <c r="IW67" s="4"/>
      <c r="IY67" s="4"/>
      <c r="JH67" s="2"/>
      <c r="JK67" s="4"/>
      <c r="JM67" s="4"/>
      <c r="JZ67" s="2"/>
      <c r="KD67" s="4"/>
      <c r="KF67" s="4"/>
      <c r="KJ67" s="4"/>
      <c r="KT67" s="2"/>
      <c r="KU67" s="2"/>
      <c r="KW67" s="2"/>
      <c r="LC67" s="2"/>
      <c r="LF67" s="2"/>
      <c r="LK67" s="2"/>
      <c r="LT67" s="4"/>
      <c r="LV67" s="4"/>
      <c r="NC67" s="2"/>
      <c r="NJ67" s="2"/>
      <c r="NN67" s="2"/>
      <c r="NO67" s="2"/>
      <c r="NT67" s="4"/>
      <c r="NV67" s="4"/>
      <c r="OA67" s="2"/>
      <c r="OB67" s="2"/>
      <c r="ON67" s="2"/>
      <c r="OR67" s="4"/>
      <c r="OT67" s="4"/>
      <c r="PD67" s="2"/>
      <c r="PH67" s="2"/>
      <c r="PP67" s="3"/>
      <c r="PQ67" s="2"/>
      <c r="PX67" s="2"/>
      <c r="PZ67" s="2"/>
      <c r="QF67" s="4"/>
      <c r="QH67" s="4"/>
      <c r="QX67" s="3"/>
      <c r="QZ67" s="2"/>
      <c r="RA67" s="2"/>
      <c r="RN67" s="4"/>
      <c r="RO67" s="4"/>
      <c r="RR67" s="2"/>
      <c r="RT67" s="2"/>
      <c r="RU67" s="2"/>
      <c r="SA67" s="4"/>
      <c r="SC67" s="4"/>
      <c r="SN67" s="2"/>
      <c r="SQ67" s="4"/>
      <c r="SS67" s="4"/>
      <c r="TG67" s="2"/>
      <c r="TH67" s="2"/>
      <c r="TI67" s="2"/>
      <c r="TP67" s="3"/>
      <c r="TU67" s="4"/>
      <c r="TW67" s="4"/>
    </row>
    <row r="68" spans="1:543">
      <c r="A68">
        <v>6236</v>
      </c>
      <c r="B68">
        <v>4412</v>
      </c>
      <c r="C68">
        <v>3125840891</v>
      </c>
      <c r="D68" t="s">
        <v>104</v>
      </c>
      <c r="E68" t="s">
        <v>373</v>
      </c>
      <c r="F68" t="s">
        <v>374</v>
      </c>
      <c r="G68" s="2">
        <v>37803</v>
      </c>
      <c r="H68" t="s">
        <v>43</v>
      </c>
      <c r="I68" t="s">
        <v>44</v>
      </c>
      <c r="J68" t="s">
        <v>32</v>
      </c>
      <c r="K68" t="s">
        <v>375</v>
      </c>
      <c r="L68" t="s">
        <v>95</v>
      </c>
      <c r="M68" s="2"/>
      <c r="N68" t="s">
        <v>376</v>
      </c>
      <c r="O68" s="2">
        <f>DATE(YEAR(G68) + P68, MONTH(G68), DAY(G68))</f>
        <v>60814</v>
      </c>
      <c r="P68">
        <v>63</v>
      </c>
      <c r="Q68" s="2"/>
      <c r="R68" t="s">
        <v>47</v>
      </c>
      <c r="S68" t="s">
        <v>181</v>
      </c>
      <c r="T68" s="2">
        <v>45274</v>
      </c>
      <c r="U68" t="s">
        <v>49</v>
      </c>
      <c r="V68" t="s">
        <v>66</v>
      </c>
      <c r="W68">
        <v>20</v>
      </c>
      <c r="X68" s="1">
        <v>67795</v>
      </c>
      <c r="Y68" s="1">
        <v>13559</v>
      </c>
      <c r="Z68" s="1">
        <v>54236</v>
      </c>
      <c r="AA68" s="3">
        <v>254</v>
      </c>
      <c r="AK68" s="3"/>
      <c r="AM68" s="4"/>
      <c r="AO68" s="4"/>
      <c r="BA68" s="2"/>
      <c r="BB68" s="2"/>
      <c r="BD68" s="4"/>
      <c r="BF68" s="4"/>
      <c r="BM68" s="2"/>
      <c r="BQ68" s="4"/>
      <c r="CI68" s="2"/>
      <c r="CJ68" s="2"/>
      <c r="CN68" s="2"/>
      <c r="CQ68" s="2"/>
      <c r="CV68" s="4"/>
      <c r="CX68" s="4"/>
      <c r="DB68" s="2"/>
      <c r="DC68" s="2"/>
      <c r="DE68" s="2"/>
      <c r="DF68" s="2"/>
      <c r="DV68" s="2"/>
      <c r="DW68" s="2"/>
      <c r="EF68" s="4"/>
      <c r="EH68" s="4"/>
      <c r="ER68" s="2"/>
      <c r="ES68" s="2"/>
      <c r="EX68" s="4"/>
      <c r="EZ68" s="4"/>
      <c r="FQ68" s="4"/>
      <c r="FS68" s="4"/>
      <c r="GE68" s="2"/>
      <c r="GJ68" s="4"/>
      <c r="GR68" s="2"/>
      <c r="GS68" s="3"/>
      <c r="GU68" s="3"/>
      <c r="GV68" s="2"/>
      <c r="HB68" s="3"/>
      <c r="HP68" s="2"/>
      <c r="HS68" s="4"/>
      <c r="HU68" s="4"/>
      <c r="II68" s="4"/>
      <c r="IK68" s="4"/>
      <c r="IS68" s="2"/>
      <c r="IV68" s="2"/>
      <c r="IW68" s="4"/>
      <c r="IY68" s="4"/>
      <c r="JH68" s="2"/>
      <c r="JK68" s="4"/>
      <c r="JM68" s="4"/>
      <c r="JZ68" s="2"/>
      <c r="KA68" s="3"/>
      <c r="KD68" s="4"/>
      <c r="KF68" s="4"/>
      <c r="KJ68" s="4"/>
      <c r="KT68" s="2"/>
      <c r="KU68" s="2"/>
      <c r="KW68" s="2"/>
      <c r="LC68" s="2"/>
      <c r="LF68" s="2"/>
      <c r="LK68" s="2"/>
      <c r="LT68" s="4"/>
      <c r="LV68" s="4"/>
      <c r="NB68" s="2"/>
      <c r="NC68" s="2"/>
      <c r="NJ68" s="2"/>
      <c r="NN68" s="2"/>
      <c r="NO68" s="2"/>
      <c r="NT68" s="4"/>
      <c r="NV68" s="4"/>
      <c r="OA68" s="2"/>
      <c r="OB68" s="2"/>
      <c r="ON68" s="2"/>
      <c r="OR68" s="4"/>
      <c r="OT68" s="4"/>
      <c r="PD68" s="2"/>
      <c r="PH68" s="2"/>
      <c r="PQ68" s="2"/>
      <c r="PX68" s="2"/>
      <c r="PZ68" s="2"/>
      <c r="QF68" s="4"/>
      <c r="QH68" s="4"/>
      <c r="QZ68" s="2"/>
      <c r="RA68" s="2"/>
      <c r="RM68" s="3"/>
      <c r="RN68" s="4"/>
      <c r="RO68" s="4"/>
      <c r="RR68" s="2"/>
      <c r="RT68" s="2"/>
      <c r="RU68" s="2"/>
      <c r="SC68" s="4"/>
      <c r="SN68" s="2"/>
      <c r="SQ68" s="4"/>
      <c r="SS68" s="4"/>
      <c r="TG68" s="2"/>
      <c r="TH68" s="2"/>
      <c r="TI68" s="2"/>
      <c r="TU68" s="4"/>
      <c r="TW68" s="4"/>
    </row>
    <row r="69" spans="1:543">
      <c r="A69">
        <v>1853</v>
      </c>
      <c r="B69">
        <v>6289</v>
      </c>
      <c r="C69">
        <v>1089052926</v>
      </c>
      <c r="D69" t="s">
        <v>272</v>
      </c>
      <c r="E69" t="s">
        <v>377</v>
      </c>
      <c r="F69" t="s">
        <v>378</v>
      </c>
      <c r="G69" s="2" t="s">
        <v>379</v>
      </c>
      <c r="H69" t="s">
        <v>43</v>
      </c>
      <c r="I69" t="s">
        <v>130</v>
      </c>
      <c r="J69" t="s">
        <v>32</v>
      </c>
      <c r="K69" t="s">
        <v>380</v>
      </c>
      <c r="L69" t="s">
        <v>34</v>
      </c>
      <c r="M69" s="2"/>
      <c r="N69" t="s">
        <v>381</v>
      </c>
      <c r="O69" s="2">
        <v>60833</v>
      </c>
      <c r="P69">
        <v>64</v>
      </c>
      <c r="Q69" s="2"/>
      <c r="R69" t="s">
        <v>47</v>
      </c>
      <c r="S69" t="s">
        <v>48</v>
      </c>
      <c r="T69" s="2">
        <v>30640</v>
      </c>
      <c r="U69" t="s">
        <v>49</v>
      </c>
      <c r="V69" t="s">
        <v>66</v>
      </c>
      <c r="W69">
        <v>12</v>
      </c>
      <c r="X69" s="1">
        <v>23016</v>
      </c>
      <c r="Y69" s="1">
        <v>4603.2</v>
      </c>
      <c r="Z69" s="1">
        <v>18412.8</v>
      </c>
      <c r="AA69" s="3">
        <v>720</v>
      </c>
      <c r="AK69" s="3"/>
      <c r="AM69" s="4"/>
      <c r="AO69" s="4"/>
      <c r="BA69" s="2"/>
      <c r="BD69" s="4"/>
      <c r="BM69" s="2"/>
      <c r="BO69" s="4"/>
      <c r="CI69" s="2"/>
      <c r="CJ69" s="2"/>
      <c r="CN69" s="2"/>
      <c r="CQ69" s="2"/>
      <c r="CV69" s="4"/>
      <c r="CX69" s="4"/>
      <c r="DA69" s="3"/>
      <c r="DB69" s="2"/>
      <c r="DC69" s="2"/>
      <c r="DE69" s="2"/>
      <c r="DV69" s="2"/>
      <c r="DW69" s="2"/>
      <c r="DX69" s="3"/>
      <c r="EC69" s="3"/>
      <c r="EF69" s="4"/>
      <c r="EH69" s="4"/>
      <c r="ER69" s="2"/>
      <c r="ES69" s="2"/>
      <c r="EX69" s="4"/>
      <c r="EZ69" s="4"/>
      <c r="FQ69" s="4"/>
      <c r="FS69" s="4"/>
      <c r="GE69" s="2"/>
      <c r="GJ69" s="4"/>
      <c r="GL69" s="4"/>
      <c r="GR69" s="2"/>
      <c r="GV69" s="2"/>
      <c r="GW69" s="3"/>
      <c r="GX69" s="3"/>
      <c r="HB69" s="3"/>
      <c r="HP69" s="2"/>
      <c r="HU69" s="4"/>
      <c r="II69" s="4"/>
      <c r="IK69" s="4"/>
      <c r="IS69" s="2"/>
      <c r="IT69" s="2"/>
      <c r="IV69" s="2"/>
      <c r="IW69" s="4"/>
      <c r="IY69" s="4"/>
      <c r="JK69" s="4"/>
      <c r="JM69" s="4"/>
      <c r="JZ69" s="2"/>
      <c r="KC69" s="3"/>
      <c r="KD69" s="4"/>
      <c r="KF69" s="4"/>
      <c r="KJ69" s="4"/>
      <c r="KT69" s="2"/>
      <c r="KU69" s="2"/>
      <c r="KW69" s="2"/>
      <c r="LC69" s="2"/>
      <c r="LF69" s="2"/>
      <c r="LT69" s="4"/>
      <c r="LV69" s="4"/>
      <c r="MI69" s="3"/>
      <c r="NB69" s="2"/>
      <c r="NC69" s="2"/>
      <c r="NJ69" s="2"/>
      <c r="NN69" s="2"/>
      <c r="NT69" s="4"/>
      <c r="NV69" s="4"/>
      <c r="OA69" s="2"/>
      <c r="OB69" s="2"/>
      <c r="ON69" s="2"/>
      <c r="OR69" s="4"/>
      <c r="OT69" s="4"/>
      <c r="PD69" s="2"/>
      <c r="PH69" s="2"/>
      <c r="PQ69" s="2"/>
      <c r="PX69" s="2"/>
      <c r="PZ69" s="2"/>
      <c r="QF69" s="4"/>
      <c r="QH69" s="4"/>
      <c r="QZ69" s="2"/>
      <c r="RA69" s="2"/>
      <c r="RN69" s="4"/>
      <c r="RO69" s="4"/>
      <c r="RR69" s="2"/>
      <c r="RT69" s="2"/>
      <c r="RU69" s="2"/>
      <c r="SA69" s="4"/>
      <c r="SC69" s="4"/>
      <c r="SN69" s="2"/>
      <c r="SQ69" s="4"/>
      <c r="SS69" s="4"/>
      <c r="TG69" s="2"/>
      <c r="TH69" s="2"/>
      <c r="TI69" s="2"/>
      <c r="TU69" s="4"/>
    </row>
    <row r="70" spans="1:543">
      <c r="A70">
        <v>9629</v>
      </c>
      <c r="B70">
        <v>1503</v>
      </c>
      <c r="C70">
        <v>9282597298</v>
      </c>
      <c r="D70" t="s">
        <v>27</v>
      </c>
      <c r="E70" t="s">
        <v>383</v>
      </c>
      <c r="F70" t="s">
        <v>384</v>
      </c>
      <c r="G70" s="2">
        <v>39501</v>
      </c>
      <c r="H70" t="s">
        <v>43</v>
      </c>
      <c r="I70" t="s">
        <v>331</v>
      </c>
      <c r="J70" t="s">
        <v>32</v>
      </c>
      <c r="K70" t="s">
        <v>385</v>
      </c>
      <c r="L70" t="s">
        <v>77</v>
      </c>
      <c r="M70" s="2"/>
      <c r="N70" t="s">
        <v>386</v>
      </c>
      <c r="O70" s="2">
        <f>DATE(YEAR(G70) + P70, MONTH(G70), DAY(G70))</f>
        <v>65069</v>
      </c>
      <c r="P70">
        <v>70</v>
      </c>
      <c r="Q70" s="2"/>
      <c r="R70" t="s">
        <v>47</v>
      </c>
      <c r="S70" t="s">
        <v>102</v>
      </c>
      <c r="T70" s="2">
        <v>27478</v>
      </c>
      <c r="U70" t="s">
        <v>133</v>
      </c>
      <c r="V70" t="s">
        <v>56</v>
      </c>
      <c r="W70">
        <v>3</v>
      </c>
      <c r="X70" s="1">
        <v>44302</v>
      </c>
      <c r="Y70" s="1">
        <v>8860.4</v>
      </c>
      <c r="Z70" s="1">
        <v>35441.599999999999</v>
      </c>
      <c r="AA70" s="3">
        <v>247</v>
      </c>
      <c r="AK70" s="3"/>
      <c r="AM70" s="4"/>
      <c r="AO70" s="4"/>
      <c r="BA70" s="2"/>
      <c r="BB70" s="2"/>
      <c r="BD70" s="4"/>
      <c r="BF70" s="4"/>
      <c r="BM70" s="2"/>
      <c r="BO70" s="4"/>
      <c r="BQ70" s="4"/>
      <c r="CI70" s="2"/>
      <c r="CJ70" s="2"/>
      <c r="CN70" s="2"/>
      <c r="CQ70" s="2"/>
      <c r="CV70" s="4"/>
      <c r="DB70" s="2"/>
      <c r="DC70" s="2"/>
      <c r="DE70" s="2"/>
      <c r="DF70" s="2"/>
      <c r="DW70" s="2"/>
      <c r="EF70" s="4"/>
      <c r="EH70" s="4"/>
      <c r="ER70" s="2"/>
      <c r="ES70" s="2"/>
      <c r="EX70" s="4"/>
      <c r="EZ70" s="4"/>
      <c r="FQ70" s="4"/>
      <c r="FS70" s="4"/>
      <c r="GD70" s="3"/>
      <c r="GE70" s="2"/>
      <c r="GJ70" s="4"/>
      <c r="GL70" s="4"/>
      <c r="GR70" s="2"/>
      <c r="GV70" s="2"/>
      <c r="GX70" s="3"/>
      <c r="HB70" s="3"/>
      <c r="HO70" s="3"/>
      <c r="HP70" s="2"/>
      <c r="HS70" s="4"/>
      <c r="HU70" s="4"/>
      <c r="IF70" s="3"/>
      <c r="II70" s="4"/>
      <c r="IK70" s="4"/>
      <c r="IS70" s="2"/>
      <c r="IT70" s="2"/>
      <c r="IV70" s="2"/>
      <c r="IW70" s="4"/>
      <c r="IY70" s="4"/>
      <c r="JH70" s="2"/>
      <c r="JK70" s="4"/>
      <c r="JM70" s="4"/>
      <c r="JZ70" s="2"/>
      <c r="KD70" s="4"/>
      <c r="KF70" s="4"/>
      <c r="KJ70" s="4"/>
      <c r="KT70" s="2"/>
      <c r="KU70" s="2"/>
      <c r="KW70" s="2"/>
      <c r="LC70" s="2"/>
      <c r="LF70" s="2"/>
      <c r="LT70" s="4"/>
      <c r="LV70" s="4"/>
      <c r="NB70" s="2"/>
      <c r="NC70" s="2"/>
      <c r="NJ70" s="2"/>
      <c r="NN70" s="2"/>
      <c r="NO70" s="2"/>
      <c r="NT70" s="4"/>
      <c r="NV70" s="4"/>
      <c r="OA70" s="2"/>
      <c r="OB70" s="2"/>
      <c r="ON70" s="2"/>
      <c r="OR70" s="4"/>
      <c r="OT70" s="4"/>
      <c r="PD70" s="2"/>
      <c r="PH70" s="2"/>
      <c r="PQ70" s="2"/>
      <c r="PZ70" s="2"/>
      <c r="QF70" s="4"/>
      <c r="QH70" s="4"/>
      <c r="QZ70" s="2"/>
      <c r="RA70" s="2"/>
      <c r="RN70" s="4"/>
      <c r="RO70" s="4"/>
      <c r="RR70" s="2"/>
      <c r="RT70" s="2"/>
      <c r="RU70" s="2"/>
      <c r="SA70" s="4"/>
      <c r="SC70" s="4"/>
      <c r="SQ70" s="4"/>
      <c r="TH70" s="2"/>
      <c r="TN70" s="3"/>
      <c r="TU70" s="4"/>
      <c r="TW70" s="4"/>
    </row>
    <row r="71" spans="1:543">
      <c r="A71">
        <v>7716</v>
      </c>
      <c r="B71">
        <v>405</v>
      </c>
      <c r="C71">
        <v>9126762062</v>
      </c>
      <c r="D71" t="s">
        <v>79</v>
      </c>
      <c r="E71" t="s">
        <v>387</v>
      </c>
      <c r="F71" t="s">
        <v>388</v>
      </c>
      <c r="G71" s="2">
        <v>34735</v>
      </c>
      <c r="H71" t="s">
        <v>43</v>
      </c>
      <c r="I71" t="s">
        <v>236</v>
      </c>
      <c r="J71" t="s">
        <v>32</v>
      </c>
      <c r="K71" t="s">
        <v>389</v>
      </c>
      <c r="L71" t="s">
        <v>77</v>
      </c>
      <c r="M71" s="2"/>
      <c r="N71" t="s">
        <v>390</v>
      </c>
      <c r="O71" s="2">
        <f>DATE(YEAR(G71) + P71, MONTH(G71), DAY(G71))</f>
        <v>58111</v>
      </c>
      <c r="P71">
        <v>64</v>
      </c>
      <c r="Q71" s="2"/>
      <c r="R71" t="s">
        <v>47</v>
      </c>
      <c r="S71" t="s">
        <v>48</v>
      </c>
      <c r="T71" s="2">
        <v>39039</v>
      </c>
      <c r="U71" t="s">
        <v>49</v>
      </c>
      <c r="V71" t="s">
        <v>66</v>
      </c>
      <c r="W71">
        <v>13</v>
      </c>
      <c r="X71" s="1">
        <v>70632</v>
      </c>
      <c r="Y71" s="1">
        <v>14126.400000000001</v>
      </c>
      <c r="Z71" s="1">
        <v>56505.599999999999</v>
      </c>
      <c r="AA71" s="3">
        <v>129</v>
      </c>
      <c r="AB71" s="3"/>
      <c r="AK71" s="3"/>
      <c r="AO71" s="4"/>
      <c r="BA71" s="2"/>
      <c r="BB71" s="2"/>
      <c r="BD71" s="4"/>
      <c r="BF71" s="4"/>
      <c r="BM71" s="2"/>
      <c r="BO71" s="4"/>
      <c r="BQ71" s="4"/>
      <c r="CI71" s="2"/>
      <c r="CJ71" s="2"/>
      <c r="CN71" s="2"/>
      <c r="CQ71" s="2"/>
      <c r="CV71" s="4"/>
      <c r="CX71" s="4"/>
      <c r="DB71" s="2"/>
      <c r="DC71" s="2"/>
      <c r="DE71" s="2"/>
      <c r="DF71" s="2"/>
      <c r="DV71" s="2"/>
      <c r="DW71" s="2"/>
      <c r="EF71" s="4"/>
      <c r="EH71" s="4"/>
      <c r="ER71" s="2"/>
      <c r="ES71" s="2"/>
      <c r="FQ71" s="4"/>
      <c r="FS71" s="4"/>
      <c r="GJ71" s="4"/>
      <c r="GL71" s="4"/>
      <c r="GR71" s="2"/>
      <c r="GT71" s="3"/>
      <c r="GU71" s="3"/>
      <c r="GV71" s="2"/>
      <c r="HB71" s="3"/>
      <c r="HP71" s="2"/>
      <c r="HS71" s="4"/>
      <c r="HU71" s="4"/>
      <c r="II71" s="4"/>
      <c r="IK71" s="4"/>
      <c r="IS71" s="2"/>
      <c r="IT71" s="2"/>
      <c r="IV71" s="2"/>
      <c r="IW71" s="4"/>
      <c r="IY71" s="4"/>
      <c r="JH71" s="2"/>
      <c r="JK71" s="4"/>
      <c r="JM71" s="4"/>
      <c r="JZ71" s="2"/>
      <c r="KA71" s="3"/>
      <c r="KD71" s="4"/>
      <c r="KF71" s="4"/>
      <c r="KJ71" s="4"/>
      <c r="KT71" s="2"/>
      <c r="KU71" s="2"/>
      <c r="KW71" s="2"/>
      <c r="LC71" s="2"/>
      <c r="LF71" s="2"/>
      <c r="LK71" s="2"/>
      <c r="LT71" s="4"/>
      <c r="LV71" s="4"/>
      <c r="MC71" s="3"/>
      <c r="NB71" s="2"/>
      <c r="NC71" s="2"/>
      <c r="NJ71" s="2"/>
      <c r="NN71" s="2"/>
      <c r="NO71" s="2"/>
      <c r="NT71" s="4"/>
      <c r="NV71" s="4"/>
      <c r="OA71" s="2"/>
      <c r="OB71" s="2"/>
      <c r="ON71" s="2"/>
      <c r="OR71" s="4"/>
      <c r="OT71" s="4"/>
      <c r="PH71" s="2"/>
      <c r="PQ71" s="2"/>
      <c r="PX71" s="2"/>
      <c r="PZ71" s="2"/>
      <c r="QF71" s="4"/>
      <c r="QH71" s="4"/>
      <c r="QJ71" s="3"/>
      <c r="QZ71" s="2"/>
      <c r="RA71" s="2"/>
      <c r="RO71" s="4"/>
      <c r="RR71" s="2"/>
      <c r="RT71" s="2"/>
      <c r="RU71" s="2"/>
      <c r="SA71" s="4"/>
      <c r="SC71" s="4"/>
      <c r="SN71" s="2"/>
      <c r="SS71" s="4"/>
      <c r="TG71" s="2"/>
      <c r="TH71" s="2"/>
      <c r="TI71" s="2"/>
      <c r="TU71" s="4"/>
      <c r="TW71" s="4"/>
    </row>
    <row r="72" spans="1:543">
      <c r="A72">
        <v>9492</v>
      </c>
      <c r="B72">
        <v>9212</v>
      </c>
      <c r="C72">
        <v>8790497966</v>
      </c>
      <c r="D72" t="s">
        <v>228</v>
      </c>
      <c r="E72" t="s">
        <v>391</v>
      </c>
      <c r="F72" t="s">
        <v>392</v>
      </c>
      <c r="G72" s="2">
        <v>40454</v>
      </c>
      <c r="H72" t="s">
        <v>30</v>
      </c>
      <c r="I72" t="s">
        <v>169</v>
      </c>
      <c r="J72" t="s">
        <v>32</v>
      </c>
      <c r="K72" t="s">
        <v>393</v>
      </c>
      <c r="L72" t="s">
        <v>95</v>
      </c>
      <c r="M72" s="2"/>
      <c r="N72" t="s">
        <v>394</v>
      </c>
      <c r="O72" s="2">
        <f>DATE(YEAR(G72) + P72, MONTH(G72), DAY(G72))</f>
        <v>62734</v>
      </c>
      <c r="P72">
        <v>61</v>
      </c>
      <c r="Q72" s="2">
        <v>43051</v>
      </c>
      <c r="R72" t="s">
        <v>36</v>
      </c>
      <c r="S72" t="s">
        <v>181</v>
      </c>
      <c r="T72" s="2">
        <v>45771</v>
      </c>
      <c r="U72" t="s">
        <v>65</v>
      </c>
      <c r="V72" t="s">
        <v>66</v>
      </c>
      <c r="W72">
        <v>13</v>
      </c>
      <c r="X72" s="1">
        <v>5738</v>
      </c>
      <c r="Y72" s="1">
        <v>1147.6000000000001</v>
      </c>
      <c r="Z72" s="1">
        <v>4590.3999999999996</v>
      </c>
      <c r="AA72" s="3">
        <v>65</v>
      </c>
      <c r="AJ72" s="3"/>
      <c r="AK72" s="3"/>
      <c r="AM72" s="4"/>
      <c r="AO72" s="4"/>
      <c r="BA72" s="2"/>
      <c r="BD72" s="4"/>
      <c r="BF72" s="4"/>
      <c r="BM72" s="2"/>
      <c r="BO72" s="4"/>
      <c r="BQ72" s="4"/>
      <c r="CJ72" s="2"/>
      <c r="CN72" s="2"/>
      <c r="CQ72" s="2"/>
      <c r="CV72" s="4"/>
      <c r="DB72" s="2"/>
      <c r="DC72" s="2"/>
      <c r="DE72" s="2"/>
      <c r="DF72" s="2"/>
      <c r="DV72" s="2"/>
      <c r="DW72" s="2"/>
      <c r="EF72" s="4"/>
      <c r="EH72" s="4"/>
      <c r="ER72" s="2"/>
      <c r="ES72" s="2"/>
      <c r="EX72" s="4"/>
      <c r="EZ72" s="4"/>
      <c r="FQ72" s="4"/>
      <c r="FS72" s="4"/>
      <c r="GE72" s="2"/>
      <c r="GJ72" s="4"/>
      <c r="GL72" s="4"/>
      <c r="GR72" s="2"/>
      <c r="GV72" s="2"/>
      <c r="GX72" s="3"/>
      <c r="GY72" s="3"/>
      <c r="HB72" s="3"/>
      <c r="HP72" s="2"/>
      <c r="HS72" s="4"/>
      <c r="HU72" s="4"/>
      <c r="II72" s="4"/>
      <c r="IK72" s="4"/>
      <c r="IS72" s="2"/>
      <c r="IT72" s="2"/>
      <c r="IV72" s="2"/>
      <c r="IW72" s="4"/>
      <c r="IY72" s="4"/>
      <c r="JH72" s="2"/>
      <c r="JK72" s="4"/>
      <c r="JM72" s="4"/>
      <c r="JZ72" s="2"/>
      <c r="KA72" s="3"/>
      <c r="KD72" s="4"/>
      <c r="KF72" s="4"/>
      <c r="KJ72" s="4"/>
      <c r="KT72" s="2"/>
      <c r="KU72" s="2"/>
      <c r="KW72" s="2"/>
      <c r="LC72" s="2"/>
      <c r="LF72" s="2"/>
      <c r="LK72" s="2"/>
      <c r="LT72" s="4"/>
      <c r="LV72" s="4"/>
      <c r="LZ72" s="3"/>
      <c r="NB72" s="2"/>
      <c r="NC72" s="2"/>
      <c r="NJ72" s="2"/>
      <c r="NO72" s="2"/>
      <c r="NQ72" s="3"/>
      <c r="NT72" s="4"/>
      <c r="OA72" s="2"/>
      <c r="OB72" s="2"/>
      <c r="ON72" s="2"/>
      <c r="OR72" s="4"/>
      <c r="OT72" s="4"/>
      <c r="PD72" s="2"/>
      <c r="PH72" s="2"/>
      <c r="PN72" s="3"/>
      <c r="PQ72" s="2"/>
      <c r="PX72" s="2"/>
      <c r="PZ72" s="2"/>
      <c r="QF72" s="4"/>
      <c r="QH72" s="4"/>
      <c r="QZ72" s="2"/>
      <c r="RA72" s="2"/>
      <c r="RN72" s="4"/>
      <c r="RO72" s="4"/>
      <c r="RR72" s="2"/>
      <c r="RU72" s="2"/>
      <c r="SA72" s="4"/>
      <c r="SC72" s="4"/>
      <c r="SN72" s="2"/>
      <c r="SQ72" s="4"/>
      <c r="SS72" s="4"/>
      <c r="TG72" s="2"/>
      <c r="TH72" s="2"/>
      <c r="TI72" s="2"/>
      <c r="TU72" s="4"/>
      <c r="TW72" s="4"/>
    </row>
    <row r="73" spans="1:543">
      <c r="A73">
        <v>6576</v>
      </c>
      <c r="B73">
        <v>9080</v>
      </c>
      <c r="C73">
        <v>9538597666</v>
      </c>
      <c r="D73" t="s">
        <v>40</v>
      </c>
      <c r="E73" t="s">
        <v>396</v>
      </c>
      <c r="F73" t="s">
        <v>397</v>
      </c>
      <c r="G73" s="2">
        <v>33951</v>
      </c>
      <c r="H73" t="s">
        <v>43</v>
      </c>
      <c r="I73" t="s">
        <v>260</v>
      </c>
      <c r="J73" t="s">
        <v>32</v>
      </c>
      <c r="K73" t="s">
        <v>398</v>
      </c>
      <c r="L73" t="s">
        <v>34</v>
      </c>
      <c r="M73" s="2"/>
      <c r="N73" t="s">
        <v>399</v>
      </c>
      <c r="O73" s="2">
        <f>DATE(YEAR(G73) + P73, MONTH(G73), DAY(G73))</f>
        <v>58422</v>
      </c>
      <c r="P73">
        <v>67</v>
      </c>
      <c r="Q73" s="2">
        <v>45965</v>
      </c>
      <c r="R73" t="s">
        <v>36</v>
      </c>
      <c r="S73" t="s">
        <v>109</v>
      </c>
      <c r="T73" s="2">
        <v>38352</v>
      </c>
      <c r="U73" t="s">
        <v>133</v>
      </c>
      <c r="V73" t="s">
        <v>66</v>
      </c>
      <c r="W73">
        <v>5</v>
      </c>
      <c r="X73" s="1">
        <v>75427</v>
      </c>
      <c r="Y73" s="1">
        <v>15085.400000000001</v>
      </c>
      <c r="Z73" s="1">
        <v>60341.599999999999</v>
      </c>
      <c r="AA73" s="3">
        <v>469</v>
      </c>
      <c r="AK73" s="3"/>
      <c r="AM73" s="4"/>
      <c r="AO73" s="4"/>
      <c r="BA73" s="2"/>
      <c r="BB73" s="2"/>
      <c r="BD73" s="4"/>
      <c r="BF73" s="4"/>
      <c r="BM73" s="2"/>
      <c r="BO73" s="4"/>
      <c r="BQ73" s="4"/>
      <c r="CF73" s="3"/>
      <c r="CI73" s="2"/>
      <c r="CJ73" s="2"/>
      <c r="CN73" s="2"/>
      <c r="CQ73" s="2"/>
      <c r="CV73" s="4"/>
      <c r="CX73" s="4"/>
      <c r="DB73" s="2"/>
      <c r="DC73" s="2"/>
      <c r="DE73" s="2"/>
      <c r="DF73" s="2"/>
      <c r="DV73" s="2"/>
      <c r="DW73" s="2"/>
      <c r="EH73" s="4"/>
      <c r="ER73" s="2"/>
      <c r="EX73" s="4"/>
      <c r="EZ73" s="4"/>
      <c r="FS73" s="4"/>
      <c r="GE73" s="2"/>
      <c r="GJ73" s="4"/>
      <c r="GL73" s="4"/>
      <c r="GR73" s="2"/>
      <c r="GS73" s="3"/>
      <c r="GT73" s="3"/>
      <c r="GV73" s="2"/>
      <c r="HB73" s="3"/>
      <c r="HP73" s="2"/>
      <c r="HQ73" s="3"/>
      <c r="HS73" s="4"/>
      <c r="HU73" s="4"/>
      <c r="IF73" s="3"/>
      <c r="II73" s="4"/>
      <c r="IS73" s="2"/>
      <c r="IT73" s="2"/>
      <c r="IV73" s="2"/>
      <c r="IW73" s="4"/>
      <c r="IY73" s="4"/>
      <c r="JH73" s="2"/>
      <c r="JK73" s="4"/>
      <c r="JM73" s="4"/>
      <c r="JZ73" s="2"/>
      <c r="KF73" s="4"/>
      <c r="KJ73" s="4"/>
      <c r="KT73" s="2"/>
      <c r="KU73" s="2"/>
      <c r="KW73" s="2"/>
      <c r="LC73" s="2"/>
      <c r="LF73" s="2"/>
      <c r="LK73" s="2"/>
      <c r="LT73" s="4"/>
      <c r="LV73" s="4"/>
      <c r="NB73" s="2"/>
      <c r="NC73" s="2"/>
      <c r="NJ73" s="2"/>
      <c r="NN73" s="2"/>
      <c r="NO73" s="2"/>
      <c r="NV73" s="4"/>
      <c r="OA73" s="2"/>
      <c r="OB73" s="2"/>
      <c r="ON73" s="2"/>
      <c r="OO73" s="3"/>
      <c r="OR73" s="4"/>
      <c r="OT73" s="4"/>
      <c r="PD73" s="2"/>
      <c r="PH73" s="2"/>
      <c r="PQ73" s="2"/>
      <c r="PX73" s="2"/>
      <c r="PZ73" s="2"/>
      <c r="QF73" s="4"/>
      <c r="QH73" s="4"/>
      <c r="RA73" s="2"/>
      <c r="RN73" s="4"/>
      <c r="RO73" s="4"/>
      <c r="RR73" s="2"/>
      <c r="RT73" s="2"/>
      <c r="RU73" s="2"/>
      <c r="SA73" s="4"/>
      <c r="SC73" s="4"/>
      <c r="SN73" s="2"/>
      <c r="SQ73" s="4"/>
      <c r="SS73" s="4"/>
      <c r="TG73" s="2"/>
      <c r="TU73" s="4"/>
      <c r="TW73" s="4"/>
    </row>
    <row r="74" spans="1:543">
      <c r="A74">
        <v>2566</v>
      </c>
      <c r="B74">
        <v>4163</v>
      </c>
      <c r="C74">
        <v>7642730558</v>
      </c>
      <c r="D74" t="s">
        <v>172</v>
      </c>
      <c r="E74" t="s">
        <v>400</v>
      </c>
      <c r="F74" t="s">
        <v>401</v>
      </c>
      <c r="G74" s="2">
        <v>40542</v>
      </c>
      <c r="H74" t="s">
        <v>43</v>
      </c>
      <c r="I74" t="s">
        <v>279</v>
      </c>
      <c r="J74" t="s">
        <v>32</v>
      </c>
      <c r="K74" t="s">
        <v>402</v>
      </c>
      <c r="L74" t="s">
        <v>77</v>
      </c>
      <c r="M74" s="2"/>
      <c r="N74" t="s">
        <v>403</v>
      </c>
      <c r="O74" s="2">
        <f>DATE(YEAR(G74) + P74, MONTH(G74), DAY(G74))</f>
        <v>64283</v>
      </c>
      <c r="P74">
        <v>65</v>
      </c>
      <c r="Q74" s="2"/>
      <c r="R74" t="s">
        <v>47</v>
      </c>
      <c r="S74" t="s">
        <v>64</v>
      </c>
      <c r="T74" s="2">
        <v>44043</v>
      </c>
      <c r="U74" t="s">
        <v>49</v>
      </c>
      <c r="V74" t="s">
        <v>56</v>
      </c>
      <c r="W74">
        <v>17</v>
      </c>
      <c r="X74" s="1">
        <v>74768</v>
      </c>
      <c r="Y74" s="1">
        <v>14953.6</v>
      </c>
      <c r="Z74" s="1">
        <v>59814.400000000001</v>
      </c>
      <c r="AA74" s="3">
        <v>374</v>
      </c>
      <c r="AK74" s="3"/>
      <c r="AM74" s="4"/>
      <c r="AO74" s="4"/>
      <c r="BA74" s="2"/>
      <c r="BB74" s="2"/>
      <c r="BD74" s="4"/>
      <c r="BF74" s="4"/>
      <c r="BM74" s="2"/>
      <c r="BO74" s="4"/>
      <c r="BQ74" s="4"/>
      <c r="CH74" s="3"/>
      <c r="CI74" s="2"/>
      <c r="CJ74" s="2"/>
      <c r="CN74" s="2"/>
      <c r="CQ74" s="2"/>
      <c r="CV74" s="4"/>
      <c r="CX74" s="4"/>
      <c r="DB74" s="2"/>
      <c r="DC74" s="2"/>
      <c r="DE74" s="2"/>
      <c r="DF74" s="2"/>
      <c r="DV74" s="2"/>
      <c r="DW74" s="2"/>
      <c r="DX74" s="3"/>
      <c r="EC74" s="3"/>
      <c r="EH74" s="4"/>
      <c r="ER74" s="2"/>
      <c r="ES74" s="2"/>
      <c r="EX74" s="4"/>
      <c r="EZ74" s="4"/>
      <c r="FQ74" s="4"/>
      <c r="FS74" s="4"/>
      <c r="GE74" s="2"/>
      <c r="GJ74" s="4"/>
      <c r="GL74" s="4"/>
      <c r="GR74" s="2"/>
      <c r="GT74" s="3"/>
      <c r="GV74" s="2"/>
      <c r="GW74" s="3"/>
      <c r="GX74" s="3"/>
      <c r="HB74" s="3"/>
      <c r="HP74" s="2"/>
      <c r="HU74" s="4"/>
      <c r="II74" s="4"/>
      <c r="IK74" s="4"/>
      <c r="IS74" s="2"/>
      <c r="IT74" s="2"/>
      <c r="IV74" s="2"/>
      <c r="IY74" s="4"/>
      <c r="JH74" s="2"/>
      <c r="JK74" s="4"/>
      <c r="JZ74" s="2"/>
      <c r="KD74" s="4"/>
      <c r="KF74" s="4"/>
      <c r="KJ74" s="4"/>
      <c r="KT74" s="2"/>
      <c r="KU74" s="2"/>
      <c r="KW74" s="2"/>
      <c r="LC74" s="2"/>
      <c r="LF74" s="2"/>
      <c r="LK74" s="2"/>
      <c r="LT74" s="4"/>
      <c r="LV74" s="4"/>
      <c r="MC74" s="3"/>
      <c r="NB74" s="2"/>
      <c r="NC74" s="2"/>
      <c r="NJ74" s="2"/>
      <c r="NN74" s="2"/>
      <c r="NT74" s="4"/>
      <c r="NV74" s="4"/>
      <c r="OA74" s="2"/>
      <c r="OB74" s="2"/>
      <c r="OJ74" s="3"/>
      <c r="ON74" s="2"/>
      <c r="OR74" s="4"/>
      <c r="OT74" s="4"/>
      <c r="PQ74" s="2"/>
      <c r="PX74" s="2"/>
      <c r="PZ74" s="2"/>
      <c r="QF74" s="4"/>
      <c r="QH74" s="4"/>
      <c r="QZ74" s="2"/>
      <c r="RA74" s="2"/>
      <c r="RO74" s="4"/>
      <c r="RR74" s="2"/>
      <c r="RU74" s="2"/>
      <c r="SA74" s="4"/>
      <c r="SC74" s="4"/>
      <c r="SN74" s="2"/>
      <c r="SQ74" s="4"/>
      <c r="SS74" s="4"/>
      <c r="TG74" s="2"/>
      <c r="TH74" s="2"/>
      <c r="TI74" s="2"/>
      <c r="TU74" s="4"/>
      <c r="TW74" s="4"/>
    </row>
    <row r="75" spans="1:543">
      <c r="A75">
        <v>7484</v>
      </c>
      <c r="B75">
        <v>6119</v>
      </c>
      <c r="C75">
        <v>5817773662</v>
      </c>
      <c r="D75" t="s">
        <v>404</v>
      </c>
      <c r="E75" t="s">
        <v>405</v>
      </c>
      <c r="F75" t="s">
        <v>406</v>
      </c>
      <c r="G75" s="2">
        <v>36809</v>
      </c>
      <c r="H75" t="s">
        <v>43</v>
      </c>
      <c r="I75" t="s">
        <v>407</v>
      </c>
      <c r="J75" t="s">
        <v>61</v>
      </c>
      <c r="K75" t="s">
        <v>408</v>
      </c>
      <c r="L75" t="s">
        <v>34</v>
      </c>
      <c r="M75" s="2">
        <v>41365</v>
      </c>
      <c r="N75" t="s">
        <v>409</v>
      </c>
      <c r="O75" s="2">
        <f>DATE(YEAR(G75) + P75, MONTH(G75), DAY(G75))</f>
        <v>61646</v>
      </c>
      <c r="P75">
        <v>68</v>
      </c>
      <c r="Q75" s="2"/>
      <c r="R75" t="s">
        <v>47</v>
      </c>
      <c r="S75" t="s">
        <v>64</v>
      </c>
      <c r="T75" s="2">
        <v>42883</v>
      </c>
      <c r="U75" t="s">
        <v>103</v>
      </c>
      <c r="V75" t="s">
        <v>56</v>
      </c>
      <c r="W75">
        <v>23</v>
      </c>
      <c r="X75" s="1">
        <v>28039</v>
      </c>
      <c r="Y75" s="1">
        <v>5607.8</v>
      </c>
      <c r="Z75" s="1">
        <v>22431.200000000001</v>
      </c>
      <c r="AA75" s="3">
        <v>388</v>
      </c>
      <c r="AK75" s="3"/>
      <c r="AM75" s="4"/>
      <c r="AO75" s="4"/>
      <c r="BA75" s="2"/>
      <c r="BB75" s="2"/>
      <c r="BD75" s="4"/>
      <c r="BF75" s="4"/>
      <c r="BM75" s="2"/>
      <c r="BO75" s="4"/>
      <c r="CI75" s="2"/>
      <c r="CJ75" s="2"/>
      <c r="CM75" s="3"/>
      <c r="CN75" s="2"/>
      <c r="CQ75" s="2"/>
      <c r="CV75" s="4"/>
      <c r="CX75" s="4"/>
      <c r="DB75" s="2"/>
      <c r="DC75" s="2"/>
      <c r="DE75" s="2"/>
      <c r="DF75" s="2"/>
      <c r="DV75" s="2"/>
      <c r="DW75" s="2"/>
      <c r="EF75" s="4"/>
      <c r="ER75" s="2"/>
      <c r="ES75" s="2"/>
      <c r="EX75" s="4"/>
      <c r="EZ75" s="4"/>
      <c r="FQ75" s="4"/>
      <c r="FS75" s="4"/>
      <c r="GE75" s="2"/>
      <c r="GJ75" s="4"/>
      <c r="GL75" s="4"/>
      <c r="GR75" s="2"/>
      <c r="GT75" s="3"/>
      <c r="GV75" s="2"/>
      <c r="GY75" s="3"/>
      <c r="HP75" s="2"/>
      <c r="HS75" s="4"/>
      <c r="HU75" s="4"/>
      <c r="II75" s="4"/>
      <c r="IK75" s="4"/>
      <c r="IT75" s="2"/>
      <c r="IV75" s="2"/>
      <c r="IW75" s="4"/>
      <c r="IY75" s="4"/>
      <c r="JH75" s="2"/>
      <c r="JK75" s="4"/>
      <c r="JM75" s="4"/>
      <c r="JZ75" s="2"/>
      <c r="KC75" s="3"/>
      <c r="KD75" s="4"/>
      <c r="KF75" s="4"/>
      <c r="KJ75" s="4"/>
      <c r="KT75" s="2"/>
      <c r="KU75" s="2"/>
      <c r="KW75" s="2"/>
      <c r="LC75" s="2"/>
      <c r="LF75" s="2"/>
      <c r="LK75" s="2"/>
      <c r="LV75" s="4"/>
      <c r="MF75" s="3"/>
      <c r="NB75" s="2"/>
      <c r="NG75" s="5"/>
      <c r="NJ75" s="2"/>
      <c r="NN75" s="2"/>
      <c r="NO75" s="2"/>
      <c r="NP75" s="3"/>
      <c r="NT75" s="4"/>
      <c r="NV75" s="4"/>
      <c r="OA75" s="2"/>
      <c r="OB75" s="2"/>
      <c r="OJ75" s="3"/>
      <c r="ON75" s="2"/>
      <c r="OR75" s="4"/>
      <c r="PD75" s="2"/>
      <c r="PH75" s="2"/>
      <c r="PN75" s="3"/>
      <c r="PQ75" s="2"/>
      <c r="PX75" s="2"/>
      <c r="PZ75" s="2"/>
      <c r="QF75" s="4"/>
      <c r="QH75" s="4"/>
      <c r="QZ75" s="2"/>
      <c r="RA75" s="2"/>
      <c r="RN75" s="4"/>
      <c r="RO75" s="4"/>
      <c r="RR75" s="2"/>
      <c r="RT75" s="2"/>
      <c r="RU75" s="2"/>
      <c r="SA75" s="4"/>
      <c r="SC75" s="4"/>
      <c r="SN75" s="2"/>
      <c r="SQ75" s="4"/>
      <c r="SS75" s="4"/>
      <c r="TG75" s="2"/>
      <c r="TH75" s="2"/>
      <c r="TI75" s="2"/>
      <c r="TU75" s="4"/>
      <c r="TW75" s="4"/>
    </row>
    <row r="76" spans="1:543">
      <c r="A76">
        <v>5234</v>
      </c>
      <c r="B76">
        <v>231</v>
      </c>
      <c r="C76">
        <v>3689405576</v>
      </c>
      <c r="D76" t="s">
        <v>156</v>
      </c>
      <c r="E76" t="s">
        <v>410</v>
      </c>
      <c r="F76" t="s">
        <v>411</v>
      </c>
      <c r="G76" s="2">
        <v>40481</v>
      </c>
      <c r="H76" t="s">
        <v>30</v>
      </c>
      <c r="I76" t="s">
        <v>31</v>
      </c>
      <c r="J76" t="s">
        <v>61</v>
      </c>
      <c r="K76" t="s">
        <v>412</v>
      </c>
      <c r="L76" t="s">
        <v>77</v>
      </c>
      <c r="M76" s="2">
        <v>25688</v>
      </c>
      <c r="N76" t="s">
        <v>413</v>
      </c>
      <c r="O76" s="2">
        <f>DATE(YEAR(G76) + P76, MONTH(G76), DAY(G76))</f>
        <v>64953</v>
      </c>
      <c r="P76">
        <v>67</v>
      </c>
      <c r="Q76" s="2"/>
      <c r="R76" t="s">
        <v>47</v>
      </c>
      <c r="S76" t="s">
        <v>102</v>
      </c>
      <c r="T76" s="2">
        <v>44302</v>
      </c>
      <c r="U76" t="s">
        <v>49</v>
      </c>
      <c r="V76" t="s">
        <v>39</v>
      </c>
      <c r="W76">
        <v>20</v>
      </c>
      <c r="X76" s="1">
        <v>32572</v>
      </c>
      <c r="Y76" s="1">
        <v>6514.4000000000005</v>
      </c>
      <c r="Z76" s="1">
        <v>26057.599999999999</v>
      </c>
      <c r="AA76" s="3">
        <v>585</v>
      </c>
      <c r="AK76" s="3"/>
      <c r="AM76" s="4"/>
      <c r="AO76" s="4"/>
      <c r="BA76" s="2"/>
      <c r="BB76" s="2"/>
      <c r="BD76" s="4"/>
      <c r="BF76" s="4"/>
      <c r="BM76" s="2"/>
      <c r="BO76" s="4"/>
      <c r="BQ76" s="4"/>
      <c r="CI76" s="2"/>
      <c r="CJ76" s="2"/>
      <c r="CN76" s="2"/>
      <c r="CQ76" s="2"/>
      <c r="CV76" s="4"/>
      <c r="CX76" s="4"/>
      <c r="DA76" s="3"/>
      <c r="DB76" s="2"/>
      <c r="DC76" s="2"/>
      <c r="DE76" s="2"/>
      <c r="DF76" s="2"/>
      <c r="DG76" s="3"/>
      <c r="DV76" s="2"/>
      <c r="DW76" s="2"/>
      <c r="EF76" s="4"/>
      <c r="EH76" s="4"/>
      <c r="ER76" s="2"/>
      <c r="ES76" s="2"/>
      <c r="EX76" s="4"/>
      <c r="EZ76" s="4"/>
      <c r="FQ76" s="4"/>
      <c r="FS76" s="4"/>
      <c r="GE76" s="2"/>
      <c r="GJ76" s="4"/>
      <c r="GL76" s="4"/>
      <c r="GR76" s="2"/>
      <c r="GX76" s="3"/>
      <c r="HB76" s="3"/>
      <c r="HS76" s="4"/>
      <c r="HU76" s="4"/>
      <c r="II76" s="4"/>
      <c r="IK76" s="4"/>
      <c r="IS76" s="2"/>
      <c r="IT76" s="2"/>
      <c r="IV76" s="2"/>
      <c r="IW76" s="4"/>
      <c r="IY76" s="4"/>
      <c r="JH76" s="2"/>
      <c r="JK76" s="4"/>
      <c r="JM76" s="4"/>
      <c r="JZ76" s="2"/>
      <c r="KC76" s="3"/>
      <c r="KD76" s="4"/>
      <c r="KF76" s="4"/>
      <c r="KJ76" s="4"/>
      <c r="KT76" s="2"/>
      <c r="KU76" s="2"/>
      <c r="KW76" s="2"/>
      <c r="LC76" s="2"/>
      <c r="LF76" s="2"/>
      <c r="LT76" s="4"/>
      <c r="LV76" s="4"/>
      <c r="MB76" s="3"/>
      <c r="MI76" s="3"/>
      <c r="NB76" s="2"/>
      <c r="NC76" s="2"/>
      <c r="NG76" s="5"/>
      <c r="NJ76" s="2"/>
      <c r="NN76" s="2"/>
      <c r="NO76" s="2"/>
      <c r="NT76" s="4"/>
      <c r="NV76" s="4"/>
      <c r="OA76" s="2"/>
      <c r="OR76" s="4"/>
      <c r="OT76" s="4"/>
      <c r="PD76" s="2"/>
      <c r="PH76" s="2"/>
      <c r="PQ76" s="2"/>
      <c r="PX76" s="2"/>
      <c r="PZ76" s="2"/>
      <c r="QF76" s="4"/>
      <c r="QH76" s="4"/>
      <c r="RA76" s="2"/>
      <c r="RM76" s="3"/>
      <c r="RO76" s="4"/>
      <c r="RR76" s="2"/>
      <c r="RT76" s="2"/>
      <c r="RU76" s="2"/>
      <c r="SA76" s="4"/>
      <c r="SC76" s="4"/>
      <c r="SN76" s="2"/>
      <c r="SQ76" s="4"/>
      <c r="TG76" s="2"/>
      <c r="TH76" s="2"/>
      <c r="TI76" s="2"/>
      <c r="TU76" s="4"/>
      <c r="TW76" s="4"/>
    </row>
    <row r="77" spans="1:543">
      <c r="A77">
        <v>8328</v>
      </c>
      <c r="B77">
        <v>2016</v>
      </c>
      <c r="C77">
        <v>4406646570</v>
      </c>
      <c r="D77" t="s">
        <v>415</v>
      </c>
      <c r="E77" t="s">
        <v>416</v>
      </c>
      <c r="F77" t="s">
        <v>417</v>
      </c>
      <c r="G77" s="2">
        <v>38595</v>
      </c>
      <c r="H77" t="s">
        <v>30</v>
      </c>
      <c r="I77" t="s">
        <v>137</v>
      </c>
      <c r="J77" t="s">
        <v>32</v>
      </c>
      <c r="K77" t="s">
        <v>418</v>
      </c>
      <c r="L77" t="s">
        <v>95</v>
      </c>
      <c r="M77" s="2"/>
      <c r="N77" t="s">
        <v>532</v>
      </c>
      <c r="O77" s="2">
        <f>DATE(YEAR(G77) + P77, MONTH(G77), DAY(G77))</f>
        <v>60875</v>
      </c>
      <c r="P77">
        <v>61</v>
      </c>
      <c r="Q77" s="2"/>
      <c r="R77" t="s">
        <v>47</v>
      </c>
      <c r="S77" t="s">
        <v>102</v>
      </c>
      <c r="T77" s="2">
        <v>44881</v>
      </c>
      <c r="U77" t="s">
        <v>38</v>
      </c>
      <c r="V77" t="s">
        <v>39</v>
      </c>
      <c r="W77">
        <v>8</v>
      </c>
      <c r="X77" s="1">
        <v>56783</v>
      </c>
      <c r="Y77" s="1">
        <v>11356.6</v>
      </c>
      <c r="Z77" s="1">
        <v>45426.400000000001</v>
      </c>
      <c r="AA77" s="3">
        <v>698</v>
      </c>
      <c r="AK77" s="3"/>
      <c r="AM77" s="4"/>
      <c r="AO77" s="4"/>
      <c r="BA77" s="2"/>
      <c r="BB77" s="2"/>
      <c r="BD77" s="4"/>
      <c r="BM77" s="2"/>
      <c r="BO77" s="4"/>
      <c r="BQ77" s="4"/>
      <c r="CJ77" s="2"/>
      <c r="CL77" s="3"/>
      <c r="CQ77" s="2"/>
      <c r="CV77" s="4"/>
      <c r="CX77" s="4"/>
      <c r="DA77" s="3"/>
      <c r="DC77" s="2"/>
      <c r="DE77" s="2"/>
      <c r="DF77" s="2"/>
      <c r="DV77" s="2"/>
      <c r="DW77" s="2"/>
      <c r="DX77" s="3"/>
      <c r="EF77" s="4"/>
      <c r="EH77" s="4"/>
      <c r="ER77" s="2"/>
      <c r="ES77" s="2"/>
      <c r="EX77" s="4"/>
      <c r="EZ77" s="4"/>
      <c r="FQ77" s="4"/>
      <c r="FS77" s="4"/>
      <c r="GE77" s="2"/>
      <c r="GJ77" s="4"/>
      <c r="GL77" s="4"/>
      <c r="GR77" s="2"/>
      <c r="GS77" s="3"/>
      <c r="GV77" s="2"/>
      <c r="GW77" s="3"/>
      <c r="GX77" s="3"/>
      <c r="HB77" s="3"/>
      <c r="HP77" s="2"/>
      <c r="HS77" s="4"/>
      <c r="HU77" s="4"/>
      <c r="II77" s="4"/>
      <c r="IK77" s="4"/>
      <c r="IS77" s="2"/>
      <c r="IT77" s="2"/>
      <c r="IV77" s="2"/>
      <c r="IW77" s="4"/>
      <c r="IY77" s="4"/>
      <c r="JK77" s="4"/>
      <c r="JM77" s="4"/>
      <c r="JZ77" s="2"/>
      <c r="KD77" s="4"/>
      <c r="KF77" s="4"/>
      <c r="KT77" s="2"/>
      <c r="KW77" s="2"/>
      <c r="LC77" s="2"/>
      <c r="LF77" s="2"/>
      <c r="LK77" s="2"/>
      <c r="LT77" s="4"/>
      <c r="LV77" s="4"/>
      <c r="NB77" s="2"/>
      <c r="NC77" s="2"/>
      <c r="NJ77" s="2"/>
      <c r="NN77" s="2"/>
      <c r="NO77" s="2"/>
      <c r="NT77" s="4"/>
      <c r="NV77" s="4"/>
      <c r="OA77" s="2"/>
      <c r="OB77" s="2"/>
      <c r="OK77" s="3"/>
      <c r="OR77" s="4"/>
      <c r="OT77" s="4"/>
      <c r="PD77" s="2"/>
      <c r="PH77" s="2"/>
      <c r="PQ77" s="2"/>
      <c r="PX77" s="2"/>
      <c r="QF77" s="4"/>
      <c r="QH77" s="4"/>
      <c r="QZ77" s="2"/>
      <c r="RN77" s="4"/>
      <c r="RO77" s="4"/>
      <c r="RR77" s="2"/>
      <c r="RT77" s="2"/>
      <c r="RU77" s="2"/>
      <c r="SA77" s="4"/>
      <c r="SC77" s="4"/>
      <c r="SN77" s="2"/>
      <c r="SQ77" s="4"/>
      <c r="SS77" s="4"/>
      <c r="TG77" s="2"/>
      <c r="TH77" s="2"/>
      <c r="TI77" s="2"/>
      <c r="TU77" s="4"/>
      <c r="TW77" s="4"/>
    </row>
    <row r="78" spans="1:543">
      <c r="A78">
        <v>5700</v>
      </c>
      <c r="B78">
        <v>7927</v>
      </c>
      <c r="C78">
        <v>5723147489</v>
      </c>
      <c r="D78" t="s">
        <v>421</v>
      </c>
      <c r="E78" t="s">
        <v>422</v>
      </c>
      <c r="F78" t="s">
        <v>423</v>
      </c>
      <c r="G78" s="2">
        <v>35369</v>
      </c>
      <c r="H78" t="s">
        <v>30</v>
      </c>
      <c r="I78" t="s">
        <v>260</v>
      </c>
      <c r="J78" t="s">
        <v>32</v>
      </c>
      <c r="K78" t="s">
        <v>424</v>
      </c>
      <c r="L78" t="s">
        <v>34</v>
      </c>
      <c r="M78" s="2"/>
      <c r="N78" t="s">
        <v>425</v>
      </c>
      <c r="O78" s="2">
        <f>DATE(YEAR(G78) + P78, MONTH(G78), DAY(G78))</f>
        <v>58014</v>
      </c>
      <c r="P78">
        <v>62</v>
      </c>
      <c r="Q78" s="2"/>
      <c r="R78" t="s">
        <v>47</v>
      </c>
      <c r="S78" t="s">
        <v>102</v>
      </c>
      <c r="T78" s="2">
        <v>37076</v>
      </c>
      <c r="U78" t="s">
        <v>49</v>
      </c>
      <c r="V78" t="s">
        <v>56</v>
      </c>
      <c r="W78">
        <v>22</v>
      </c>
      <c r="X78" s="1">
        <v>72885</v>
      </c>
      <c r="Y78" s="1">
        <v>14577</v>
      </c>
      <c r="Z78" s="1">
        <v>58308</v>
      </c>
      <c r="AA78" s="3">
        <v>88</v>
      </c>
      <c r="AK78" s="3"/>
      <c r="AO78" s="4"/>
      <c r="BA78" s="2"/>
      <c r="BB78" s="2"/>
      <c r="BD78" s="4"/>
      <c r="BF78" s="4"/>
      <c r="BM78" s="2"/>
      <c r="BO78" s="4"/>
      <c r="BQ78" s="4"/>
      <c r="CI78" s="2"/>
      <c r="CJ78" s="2"/>
      <c r="CN78" s="2"/>
      <c r="CP78" s="3"/>
      <c r="CQ78" s="2"/>
      <c r="CV78" s="4"/>
      <c r="CX78" s="4"/>
      <c r="CZ78" s="3"/>
      <c r="DB78" s="2"/>
      <c r="DC78" s="2"/>
      <c r="DE78" s="2"/>
      <c r="DF78" s="2"/>
      <c r="DV78" s="2"/>
      <c r="DW78" s="2"/>
      <c r="EF78" s="4"/>
      <c r="EH78" s="4"/>
      <c r="ER78" s="2"/>
      <c r="ES78" s="2"/>
      <c r="EX78" s="4"/>
      <c r="EZ78" s="4"/>
      <c r="FQ78" s="4"/>
      <c r="FS78" s="4"/>
      <c r="GE78" s="2"/>
      <c r="GJ78" s="4"/>
      <c r="GL78" s="4"/>
      <c r="GR78" s="2"/>
      <c r="GS78" s="3"/>
      <c r="GU78" s="3"/>
      <c r="GV78" s="2"/>
      <c r="GX78" s="3"/>
      <c r="HB78" s="3"/>
      <c r="HP78" s="2"/>
      <c r="HS78" s="4"/>
      <c r="HU78" s="4"/>
      <c r="II78" s="4"/>
      <c r="IK78" s="4"/>
      <c r="IS78" s="2"/>
      <c r="IT78" s="2"/>
      <c r="IV78" s="2"/>
      <c r="IW78" s="4"/>
      <c r="IY78" s="4"/>
      <c r="JH78" s="2"/>
      <c r="JK78" s="4"/>
      <c r="JM78" s="4"/>
      <c r="JZ78" s="2"/>
      <c r="KD78" s="4"/>
      <c r="KF78" s="4"/>
      <c r="KJ78" s="4"/>
      <c r="KT78" s="2"/>
      <c r="KU78" s="2"/>
      <c r="KW78" s="2"/>
      <c r="LC78" s="2"/>
      <c r="LF78" s="2"/>
      <c r="LK78" s="2"/>
      <c r="LT78" s="4"/>
      <c r="LV78" s="4"/>
      <c r="NB78" s="2"/>
      <c r="NC78" s="2"/>
      <c r="NH78" s="3"/>
      <c r="NJ78" s="2"/>
      <c r="NM78" s="3"/>
      <c r="NN78" s="2"/>
      <c r="NO78" s="2"/>
      <c r="NT78" s="4"/>
      <c r="NV78" s="4"/>
      <c r="OA78" s="2"/>
      <c r="OB78" s="2"/>
      <c r="ON78" s="2"/>
      <c r="OR78" s="4"/>
      <c r="OT78" s="4"/>
      <c r="PD78" s="2"/>
      <c r="PH78" s="2"/>
      <c r="PQ78" s="2"/>
      <c r="PX78" s="2"/>
      <c r="PZ78" s="2"/>
      <c r="QF78" s="4"/>
      <c r="QH78" s="4"/>
      <c r="QZ78" s="2"/>
      <c r="RA78" s="2"/>
      <c r="RN78" s="4"/>
      <c r="RO78" s="4"/>
      <c r="RT78" s="2"/>
      <c r="RU78" s="2"/>
      <c r="SA78" s="4"/>
      <c r="SC78" s="4"/>
      <c r="SN78" s="2"/>
      <c r="SQ78" s="4"/>
      <c r="SS78" s="4"/>
      <c r="TG78" s="2"/>
      <c r="TH78" s="2"/>
      <c r="TI78" s="2"/>
      <c r="TU78" s="4"/>
      <c r="TW78" s="4"/>
    </row>
    <row r="79" spans="1:543">
      <c r="A79">
        <v>7725</v>
      </c>
      <c r="B79">
        <v>7241</v>
      </c>
      <c r="C79">
        <v>3027073566</v>
      </c>
      <c r="D79" t="s">
        <v>426</v>
      </c>
      <c r="E79" t="s">
        <v>427</v>
      </c>
      <c r="F79" t="s">
        <v>428</v>
      </c>
      <c r="G79" s="2">
        <v>35185</v>
      </c>
      <c r="H79" t="s">
        <v>43</v>
      </c>
      <c r="I79" t="s">
        <v>143</v>
      </c>
      <c r="J79" t="s">
        <v>61</v>
      </c>
      <c r="K79" t="s">
        <v>429</v>
      </c>
      <c r="L79" t="s">
        <v>77</v>
      </c>
      <c r="M79" s="2">
        <v>38973</v>
      </c>
      <c r="N79" t="s">
        <v>430</v>
      </c>
      <c r="O79" s="2">
        <f>DATE(YEAR(G79) + P79, MONTH(G79), DAY(G79))</f>
        <v>60022</v>
      </c>
      <c r="P79">
        <v>68</v>
      </c>
      <c r="Q79" s="2"/>
      <c r="R79" t="s">
        <v>47</v>
      </c>
      <c r="S79" t="s">
        <v>37</v>
      </c>
      <c r="T79" s="2">
        <v>37318</v>
      </c>
      <c r="U79" t="s">
        <v>49</v>
      </c>
      <c r="V79" t="s">
        <v>66</v>
      </c>
      <c r="W79">
        <v>4</v>
      </c>
      <c r="X79" s="1">
        <v>57409</v>
      </c>
      <c r="Y79" s="1">
        <v>11481.800000000001</v>
      </c>
      <c r="Z79" s="1">
        <v>45927.199999999997</v>
      </c>
      <c r="AA79" s="3">
        <v>881</v>
      </c>
      <c r="AK79" s="3"/>
      <c r="AM79" s="4"/>
      <c r="AO79" s="4"/>
      <c r="BA79" s="2"/>
      <c r="BB79" s="2"/>
      <c r="BD79" s="4"/>
      <c r="BF79" s="4"/>
      <c r="BM79" s="2"/>
      <c r="BQ79" s="4"/>
      <c r="CH79" s="3"/>
      <c r="CI79" s="2"/>
      <c r="CJ79" s="2"/>
      <c r="CN79" s="2"/>
      <c r="CQ79" s="2"/>
      <c r="CV79" s="4"/>
      <c r="DB79" s="2"/>
      <c r="DC79" s="2"/>
      <c r="DE79" s="2"/>
      <c r="DF79" s="2"/>
      <c r="DV79" s="2"/>
      <c r="DW79" s="2"/>
      <c r="EF79" s="4"/>
      <c r="EH79" s="4"/>
      <c r="ER79" s="2"/>
      <c r="ES79" s="2"/>
      <c r="EU79" s="3"/>
      <c r="EX79" s="4"/>
      <c r="EZ79" s="4"/>
      <c r="FQ79" s="4"/>
      <c r="FS79" s="4"/>
      <c r="GE79" s="2"/>
      <c r="GJ79" s="4"/>
      <c r="GS79" s="3"/>
      <c r="GU79" s="3"/>
      <c r="GY79" s="3"/>
      <c r="HB79" s="3"/>
      <c r="HP79" s="2"/>
      <c r="HS79" s="4"/>
      <c r="HU79" s="4"/>
      <c r="II79" s="4"/>
      <c r="IK79" s="4"/>
      <c r="IS79" s="2"/>
      <c r="IT79" s="2"/>
      <c r="IV79" s="2"/>
      <c r="IW79" s="4"/>
      <c r="IY79" s="4"/>
      <c r="JH79" s="2"/>
      <c r="JK79" s="4"/>
      <c r="JZ79" s="2"/>
      <c r="KD79" s="4"/>
      <c r="KF79" s="4"/>
      <c r="KJ79" s="4"/>
      <c r="KT79" s="2"/>
      <c r="KU79" s="2"/>
      <c r="KW79" s="2"/>
      <c r="LC79" s="2"/>
      <c r="LF79" s="2"/>
      <c r="LK79" s="2"/>
      <c r="LT79" s="4"/>
      <c r="LV79" s="4"/>
      <c r="MA79" s="3"/>
      <c r="NB79" s="2"/>
      <c r="NC79" s="2"/>
      <c r="NJ79" s="2"/>
      <c r="NN79" s="2"/>
      <c r="NO79" s="2"/>
      <c r="NT79" s="4"/>
      <c r="NV79" s="4"/>
      <c r="OA79" s="2"/>
      <c r="ON79" s="2"/>
      <c r="OR79" s="4"/>
      <c r="OT79" s="4"/>
      <c r="PD79" s="2"/>
      <c r="PH79" s="2"/>
      <c r="PQ79" s="2"/>
      <c r="PX79" s="2"/>
      <c r="PY79" s="3"/>
      <c r="PZ79" s="2"/>
      <c r="QF79" s="4"/>
      <c r="QH79" s="4"/>
      <c r="QZ79" s="2"/>
      <c r="RA79" s="2"/>
      <c r="RN79" s="4"/>
      <c r="RO79" s="4"/>
      <c r="RR79" s="2"/>
      <c r="RT79" s="2"/>
      <c r="RU79" s="2"/>
      <c r="SA79" s="4"/>
      <c r="SC79" s="4"/>
      <c r="SN79" s="2"/>
      <c r="SQ79" s="4"/>
      <c r="SS79" s="4"/>
      <c r="TG79" s="2"/>
      <c r="TH79" s="2"/>
      <c r="TI79" s="2"/>
      <c r="TU79" s="4"/>
      <c r="TW79" s="4"/>
    </row>
    <row r="80" spans="1:543">
      <c r="A80">
        <v>2598</v>
      </c>
      <c r="B80">
        <v>4494</v>
      </c>
      <c r="C80">
        <v>1951435961</v>
      </c>
      <c r="D80" t="s">
        <v>121</v>
      </c>
      <c r="E80" t="s">
        <v>431</v>
      </c>
      <c r="F80" t="s">
        <v>432</v>
      </c>
      <c r="G80" s="2">
        <v>33603</v>
      </c>
      <c r="H80" t="s">
        <v>30</v>
      </c>
      <c r="I80" t="s">
        <v>130</v>
      </c>
      <c r="J80" t="s">
        <v>32</v>
      </c>
      <c r="K80" t="s">
        <v>433</v>
      </c>
      <c r="L80" t="s">
        <v>95</v>
      </c>
      <c r="M80" s="2"/>
      <c r="N80" t="s">
        <v>434</v>
      </c>
      <c r="O80" s="2">
        <f>DATE(YEAR(G80) + P80, MONTH(G80), DAY(G80))</f>
        <v>57710</v>
      </c>
      <c r="P80">
        <v>66</v>
      </c>
      <c r="Q80" s="2">
        <v>45596</v>
      </c>
      <c r="R80" t="s">
        <v>36</v>
      </c>
      <c r="S80" t="s">
        <v>48</v>
      </c>
      <c r="T80" s="2">
        <v>45626</v>
      </c>
      <c r="U80" t="s">
        <v>65</v>
      </c>
      <c r="V80" t="s">
        <v>66</v>
      </c>
      <c r="W80">
        <v>18</v>
      </c>
      <c r="X80" s="1">
        <v>59792</v>
      </c>
      <c r="Y80" s="1">
        <v>11958.400000000001</v>
      </c>
      <c r="Z80" s="1">
        <v>47833.599999999999</v>
      </c>
      <c r="AA80" s="3">
        <v>738</v>
      </c>
      <c r="AK80" s="3"/>
      <c r="AM80" s="4"/>
      <c r="AO80" s="4"/>
      <c r="BA80" s="2"/>
      <c r="BB80" s="2"/>
      <c r="BD80" s="4"/>
      <c r="BF80" s="4"/>
      <c r="BM80" s="2"/>
      <c r="BO80" s="4"/>
      <c r="BQ80" s="4"/>
      <c r="CF80" s="3"/>
      <c r="CI80" s="2"/>
      <c r="CJ80" s="2"/>
      <c r="CN80" s="2"/>
      <c r="CQ80" s="2"/>
      <c r="CV80" s="4"/>
      <c r="CX80" s="4"/>
      <c r="DB80" s="2"/>
      <c r="DC80" s="2"/>
      <c r="DE80" s="2"/>
      <c r="DF80" s="2"/>
      <c r="DV80" s="2"/>
      <c r="DW80" s="2"/>
      <c r="EF80" s="4"/>
      <c r="EH80" s="4"/>
      <c r="ER80" s="2"/>
      <c r="ES80" s="2"/>
      <c r="EX80" s="4"/>
      <c r="EZ80" s="4"/>
      <c r="FQ80" s="4"/>
      <c r="FS80" s="4"/>
      <c r="GE80" s="2"/>
      <c r="GG80" s="3"/>
      <c r="GJ80" s="4"/>
      <c r="GL80" s="4"/>
      <c r="GR80" s="2"/>
      <c r="GT80" s="3"/>
      <c r="GU80" s="3"/>
      <c r="HB80" s="3"/>
      <c r="HP80" s="2"/>
      <c r="HS80" s="4"/>
      <c r="HU80" s="4"/>
      <c r="II80" s="4"/>
      <c r="IK80" s="4"/>
      <c r="IS80" s="2"/>
      <c r="IT80" s="2"/>
      <c r="IV80" s="2"/>
      <c r="IW80" s="4"/>
      <c r="IY80" s="4"/>
      <c r="JH80" s="2"/>
      <c r="JK80" s="4"/>
      <c r="JM80" s="4"/>
      <c r="JZ80" s="2"/>
      <c r="KD80" s="4"/>
      <c r="KF80" s="4"/>
      <c r="KJ80" s="4"/>
      <c r="KT80" s="2"/>
      <c r="KU80" s="2"/>
      <c r="KW80" s="2"/>
      <c r="LC80" s="2"/>
      <c r="LF80" s="2"/>
      <c r="LK80" s="2"/>
      <c r="LT80" s="4"/>
      <c r="LV80" s="4"/>
      <c r="ML80" s="3"/>
      <c r="NB80" s="2"/>
      <c r="NC80" s="2"/>
      <c r="NG80" s="5"/>
      <c r="NJ80" s="2"/>
      <c r="NN80" s="2"/>
      <c r="NO80" s="2"/>
      <c r="NT80" s="4"/>
      <c r="NV80" s="4"/>
      <c r="OA80" s="2"/>
      <c r="OB80" s="2"/>
      <c r="OK80" s="3"/>
      <c r="ON80" s="2"/>
      <c r="OO80" s="3"/>
      <c r="OR80" s="4"/>
      <c r="OT80" s="4"/>
      <c r="PD80" s="2"/>
      <c r="PH80" s="2"/>
      <c r="PN80" s="3"/>
      <c r="PQ80" s="2"/>
      <c r="PX80" s="2"/>
      <c r="PZ80" s="2"/>
      <c r="QF80" s="4"/>
      <c r="QH80" s="4"/>
      <c r="QZ80" s="2"/>
      <c r="RA80" s="2"/>
      <c r="RM80" s="3"/>
      <c r="RN80" s="4"/>
      <c r="RO80" s="4"/>
      <c r="RR80" s="2"/>
      <c r="RT80" s="2"/>
      <c r="RU80" s="2"/>
      <c r="SA80" s="4"/>
      <c r="SC80" s="4"/>
      <c r="SN80" s="2"/>
      <c r="SQ80" s="4"/>
      <c r="SS80" s="4"/>
      <c r="TG80" s="2"/>
      <c r="TH80" s="2"/>
      <c r="TI80" s="2"/>
      <c r="TU80" s="4"/>
      <c r="TW80" s="4"/>
    </row>
    <row r="81" spans="1:543">
      <c r="A81">
        <v>7021</v>
      </c>
      <c r="B81">
        <v>8447</v>
      </c>
      <c r="C81">
        <v>7802657459</v>
      </c>
      <c r="D81" t="s">
        <v>435</v>
      </c>
      <c r="E81" t="s">
        <v>436</v>
      </c>
      <c r="F81" t="s">
        <v>437</v>
      </c>
      <c r="G81" s="2">
        <v>40244</v>
      </c>
      <c r="H81" t="s">
        <v>43</v>
      </c>
      <c r="I81" t="s">
        <v>331</v>
      </c>
      <c r="J81" t="s">
        <v>32</v>
      </c>
      <c r="K81" t="s">
        <v>438</v>
      </c>
      <c r="L81" t="s">
        <v>95</v>
      </c>
      <c r="M81" s="2"/>
      <c r="N81" t="s">
        <v>439</v>
      </c>
      <c r="O81" s="2">
        <f>DATE(YEAR(G81) + P81, MONTH(G81), DAY(G81))</f>
        <v>64716</v>
      </c>
      <c r="P81">
        <v>67</v>
      </c>
      <c r="Q81" s="2"/>
      <c r="R81" t="s">
        <v>47</v>
      </c>
      <c r="S81" t="s">
        <v>48</v>
      </c>
      <c r="T81" s="2">
        <v>43290</v>
      </c>
      <c r="U81" t="s">
        <v>103</v>
      </c>
      <c r="V81" t="s">
        <v>39</v>
      </c>
      <c r="W81">
        <v>9</v>
      </c>
      <c r="X81" s="1">
        <v>25987</v>
      </c>
      <c r="Y81" s="1">
        <v>5197.4000000000005</v>
      </c>
      <c r="Z81" s="1">
        <v>20789.599999999999</v>
      </c>
      <c r="AA81" s="3">
        <v>870</v>
      </c>
      <c r="AK81" s="3"/>
      <c r="AM81" s="4"/>
      <c r="AO81" s="4"/>
      <c r="BA81" s="2"/>
      <c r="BB81" s="2"/>
      <c r="BD81" s="4"/>
      <c r="BF81" s="4"/>
      <c r="BM81" s="2"/>
      <c r="BO81" s="4"/>
      <c r="BQ81" s="4"/>
      <c r="CI81" s="2"/>
      <c r="CJ81" s="2"/>
      <c r="CQ81" s="2"/>
      <c r="CV81" s="4"/>
      <c r="CX81" s="4"/>
      <c r="CZ81" s="3"/>
      <c r="DB81" s="2"/>
      <c r="DC81" s="2"/>
      <c r="DD81" s="3"/>
      <c r="DE81" s="2"/>
      <c r="DF81" s="2"/>
      <c r="DV81" s="2"/>
      <c r="DW81" s="2"/>
      <c r="EF81" s="4"/>
      <c r="EH81" s="4"/>
      <c r="ER81" s="2"/>
      <c r="EX81" s="4"/>
      <c r="EZ81" s="4"/>
      <c r="FQ81" s="4"/>
      <c r="FS81" s="4"/>
      <c r="GE81" s="2"/>
      <c r="GJ81" s="4"/>
      <c r="GL81" s="4"/>
      <c r="GR81" s="2"/>
      <c r="GV81" s="2"/>
      <c r="GW81" s="3"/>
      <c r="HB81" s="3"/>
      <c r="HP81" s="2"/>
      <c r="HS81" s="4"/>
      <c r="HU81" s="4"/>
      <c r="IF81" s="3"/>
      <c r="IK81" s="4"/>
      <c r="IS81" s="2"/>
      <c r="IT81" s="2"/>
      <c r="IV81" s="2"/>
      <c r="IW81" s="4"/>
      <c r="IY81" s="4"/>
      <c r="JH81" s="2"/>
      <c r="JK81" s="4"/>
      <c r="JM81" s="4"/>
      <c r="KD81" s="4"/>
      <c r="KF81" s="4"/>
      <c r="KI81" s="3"/>
      <c r="KJ81" s="4"/>
      <c r="KT81" s="2"/>
      <c r="KU81" s="2"/>
      <c r="KW81" s="2"/>
      <c r="LC81" s="2"/>
      <c r="LF81" s="2"/>
      <c r="LK81" s="2"/>
      <c r="LT81" s="4"/>
      <c r="LV81" s="4"/>
      <c r="MN81" s="5"/>
      <c r="NB81" s="2"/>
      <c r="NC81" s="2"/>
      <c r="NJ81" s="2"/>
      <c r="NN81" s="2"/>
      <c r="NO81" s="2"/>
      <c r="NQ81" s="3"/>
      <c r="NT81" s="4"/>
      <c r="NV81" s="4"/>
      <c r="OA81" s="2"/>
      <c r="OB81" s="2"/>
      <c r="ON81" s="2"/>
      <c r="OR81" s="4"/>
      <c r="OT81" s="4"/>
      <c r="PD81" s="2"/>
      <c r="PH81" s="2"/>
      <c r="PN81" s="3"/>
      <c r="PQ81" s="2"/>
      <c r="PX81" s="2"/>
      <c r="PZ81" s="2"/>
      <c r="QF81" s="4"/>
      <c r="QH81" s="4"/>
      <c r="QZ81" s="2"/>
      <c r="RA81" s="2"/>
      <c r="RN81" s="4"/>
      <c r="RO81" s="4"/>
      <c r="RR81" s="2"/>
      <c r="RT81" s="2"/>
      <c r="RU81" s="2"/>
      <c r="SA81" s="4"/>
      <c r="SC81" s="4"/>
      <c r="SN81" s="2"/>
      <c r="SQ81" s="4"/>
      <c r="SS81" s="4"/>
      <c r="TG81" s="2"/>
      <c r="TH81" s="2"/>
      <c r="TI81" s="2"/>
      <c r="TU81" s="4"/>
      <c r="TW81" s="4"/>
    </row>
    <row r="82" spans="1:543">
      <c r="A82">
        <v>2307</v>
      </c>
      <c r="B82">
        <v>1479</v>
      </c>
      <c r="C82">
        <v>7736071051</v>
      </c>
      <c r="D82" t="s">
        <v>440</v>
      </c>
      <c r="E82" t="s">
        <v>441</v>
      </c>
      <c r="F82" t="s">
        <v>442</v>
      </c>
      <c r="G82" s="2">
        <v>39983</v>
      </c>
      <c r="H82" t="s">
        <v>43</v>
      </c>
      <c r="I82" t="s">
        <v>31</v>
      </c>
      <c r="J82" t="s">
        <v>32</v>
      </c>
      <c r="K82" t="s">
        <v>443</v>
      </c>
      <c r="L82" t="s">
        <v>34</v>
      </c>
      <c r="M82" s="2"/>
      <c r="N82" t="s">
        <v>444</v>
      </c>
      <c r="O82" s="2">
        <f>DATE(YEAR(G82) + P82, MONTH(G82), DAY(G82))</f>
        <v>64820</v>
      </c>
      <c r="P82">
        <v>68</v>
      </c>
      <c r="Q82" s="2"/>
      <c r="R82" t="s">
        <v>47</v>
      </c>
      <c r="S82" t="s">
        <v>64</v>
      </c>
      <c r="T82" s="2">
        <v>44140</v>
      </c>
      <c r="U82" t="s">
        <v>49</v>
      </c>
      <c r="V82" t="s">
        <v>38</v>
      </c>
      <c r="W82">
        <v>15</v>
      </c>
      <c r="X82" s="1">
        <v>31079</v>
      </c>
      <c r="Y82" s="1">
        <v>6215.8</v>
      </c>
      <c r="Z82" s="1">
        <v>24863.200000000001</v>
      </c>
      <c r="AA82" s="3">
        <v>587</v>
      </c>
      <c r="AK82" s="3"/>
      <c r="AM82" s="4"/>
      <c r="AO82" s="4"/>
      <c r="BA82" s="2"/>
      <c r="BB82" s="2"/>
      <c r="BD82" s="4"/>
      <c r="BF82" s="4"/>
      <c r="BM82" s="2"/>
      <c r="BO82" s="4"/>
      <c r="BQ82" s="4"/>
      <c r="CG82" s="3"/>
      <c r="CI82" s="2"/>
      <c r="CJ82" s="2"/>
      <c r="CN82" s="2"/>
      <c r="CQ82" s="2"/>
      <c r="CV82" s="4"/>
      <c r="CX82" s="4"/>
      <c r="DB82" s="2"/>
      <c r="DC82" s="2"/>
      <c r="DE82" s="2"/>
      <c r="DF82" s="2"/>
      <c r="DV82" s="2"/>
      <c r="DW82" s="2"/>
      <c r="EF82" s="4"/>
      <c r="EH82" s="4"/>
      <c r="ES82" s="2"/>
      <c r="EX82" s="4"/>
      <c r="EZ82" s="4"/>
      <c r="FQ82" s="4"/>
      <c r="FS82" s="4"/>
      <c r="GJ82" s="4"/>
      <c r="GR82" s="2"/>
      <c r="GS82" s="3"/>
      <c r="GU82" s="3"/>
      <c r="GV82" s="2"/>
      <c r="HB82" s="3"/>
      <c r="HP82" s="2"/>
      <c r="HS82" s="4"/>
      <c r="HU82" s="4"/>
      <c r="II82" s="4"/>
      <c r="IK82" s="4"/>
      <c r="IS82" s="2"/>
      <c r="IV82" s="2"/>
      <c r="IW82" s="4"/>
      <c r="IY82" s="4"/>
      <c r="JH82" s="2"/>
      <c r="JK82" s="4"/>
      <c r="JM82" s="4"/>
      <c r="JZ82" s="2"/>
      <c r="KD82" s="4"/>
      <c r="KF82" s="4"/>
      <c r="KJ82" s="4"/>
      <c r="KT82" s="2"/>
      <c r="KU82" s="2"/>
      <c r="KW82" s="2"/>
      <c r="LC82" s="2"/>
      <c r="LF82" s="2"/>
      <c r="LK82" s="2"/>
      <c r="LT82" s="4"/>
      <c r="LV82" s="4"/>
      <c r="MN82" s="5"/>
      <c r="NB82" s="2"/>
      <c r="NC82" s="2"/>
      <c r="NJ82" s="2"/>
      <c r="NN82" s="2"/>
      <c r="NT82" s="4"/>
      <c r="NV82" s="4"/>
      <c r="OA82" s="2"/>
      <c r="OB82" s="2"/>
      <c r="ON82" s="2"/>
      <c r="OR82" s="4"/>
      <c r="OT82" s="4"/>
      <c r="PD82" s="2"/>
      <c r="PH82" s="2"/>
      <c r="PQ82" s="2"/>
      <c r="PX82" s="2"/>
      <c r="PZ82" s="2"/>
      <c r="QF82" s="4"/>
      <c r="QH82" s="4"/>
      <c r="QZ82" s="2"/>
      <c r="RA82" s="2"/>
      <c r="RN82" s="4"/>
      <c r="RO82" s="4"/>
      <c r="RT82" s="2"/>
      <c r="RU82" s="2"/>
      <c r="SA82" s="4"/>
      <c r="SC82" s="4"/>
      <c r="SN82" s="2"/>
      <c r="SQ82" s="4"/>
      <c r="SS82" s="4"/>
      <c r="TG82" s="2"/>
      <c r="TH82" s="2"/>
      <c r="TI82" s="2"/>
      <c r="TN82" s="3"/>
      <c r="TU82" s="4"/>
      <c r="TW82" s="4"/>
    </row>
    <row r="83" spans="1:543">
      <c r="A83">
        <v>9440</v>
      </c>
      <c r="B83">
        <v>2743</v>
      </c>
      <c r="C83">
        <v>8873973786</v>
      </c>
      <c r="D83" t="s">
        <v>440</v>
      </c>
      <c r="E83" t="s">
        <v>445</v>
      </c>
      <c r="F83" t="s">
        <v>446</v>
      </c>
      <c r="G83" s="2">
        <v>40511</v>
      </c>
      <c r="H83" t="s">
        <v>43</v>
      </c>
      <c r="I83" t="s">
        <v>87</v>
      </c>
      <c r="J83" t="s">
        <v>61</v>
      </c>
      <c r="K83" t="s">
        <v>447</v>
      </c>
      <c r="L83" t="s">
        <v>77</v>
      </c>
      <c r="M83" s="2">
        <v>45290</v>
      </c>
      <c r="N83" t="s">
        <v>448</v>
      </c>
      <c r="O83" s="2">
        <f>DATE(YEAR(G83) + P83, MONTH(G83), DAY(G83))</f>
        <v>62791</v>
      </c>
      <c r="P83">
        <v>61</v>
      </c>
      <c r="Q83" s="2">
        <v>45237</v>
      </c>
      <c r="R83" t="s">
        <v>36</v>
      </c>
      <c r="S83" t="s">
        <v>48</v>
      </c>
      <c r="T83" s="2">
        <v>44127</v>
      </c>
      <c r="U83" t="s">
        <v>49</v>
      </c>
      <c r="V83" t="s">
        <v>39</v>
      </c>
      <c r="W83">
        <v>14</v>
      </c>
      <c r="X83" s="1">
        <v>50626</v>
      </c>
      <c r="Y83" s="1">
        <v>10125.200000000001</v>
      </c>
      <c r="Z83" s="1">
        <v>40500.800000000003</v>
      </c>
      <c r="AA83" s="3">
        <v>267</v>
      </c>
      <c r="AK83" s="3"/>
      <c r="AO83" s="4"/>
      <c r="BB83" s="2"/>
      <c r="BF83" s="4"/>
      <c r="BM83" s="2"/>
      <c r="BO83" s="4"/>
      <c r="BQ83" s="4"/>
      <c r="CI83" s="2"/>
      <c r="CJ83" s="2"/>
      <c r="CN83" s="2"/>
      <c r="CQ83" s="2"/>
      <c r="CV83" s="4"/>
      <c r="CX83" s="4"/>
      <c r="DB83" s="2"/>
      <c r="DC83" s="2"/>
      <c r="DE83" s="2"/>
      <c r="DF83" s="2"/>
      <c r="DV83" s="2"/>
      <c r="DW83" s="2"/>
      <c r="EF83" s="4"/>
      <c r="EH83" s="4"/>
      <c r="ES83" s="2"/>
      <c r="EU83" s="3"/>
      <c r="EX83" s="4"/>
      <c r="EZ83" s="4"/>
      <c r="FQ83" s="4"/>
      <c r="FS83" s="4"/>
      <c r="GE83" s="2"/>
      <c r="GJ83" s="4"/>
      <c r="GL83" s="4"/>
      <c r="GT83" s="3"/>
      <c r="GV83" s="2"/>
      <c r="GW83" s="3"/>
      <c r="GY83" s="3"/>
      <c r="HB83" s="3"/>
      <c r="HP83" s="2"/>
      <c r="HS83" s="4"/>
      <c r="HU83" s="4"/>
      <c r="II83" s="4"/>
      <c r="IK83" s="4"/>
      <c r="IS83" s="2"/>
      <c r="IT83" s="2"/>
      <c r="IV83" s="2"/>
      <c r="IW83" s="4"/>
      <c r="IY83" s="4"/>
      <c r="JH83" s="2"/>
      <c r="JK83" s="4"/>
      <c r="JZ83" s="2"/>
      <c r="KF83" s="4"/>
      <c r="KT83" s="2"/>
      <c r="KU83" s="2"/>
      <c r="KW83" s="2"/>
      <c r="LC83" s="2"/>
      <c r="LF83" s="2"/>
      <c r="LK83" s="2"/>
      <c r="LT83" s="4"/>
      <c r="LV83" s="4"/>
      <c r="MG83" s="3"/>
      <c r="MH83" s="3"/>
      <c r="NB83" s="2"/>
      <c r="NC83" s="2"/>
      <c r="NJ83" s="2"/>
      <c r="NN83" s="2"/>
      <c r="NO83" s="2"/>
      <c r="NT83" s="4"/>
      <c r="NV83" s="4"/>
      <c r="OA83" s="2"/>
      <c r="OB83" s="2"/>
      <c r="OR83" s="4"/>
      <c r="OT83" s="4"/>
      <c r="PD83" s="2"/>
      <c r="PH83" s="2"/>
      <c r="PQ83" s="2"/>
      <c r="PX83" s="2"/>
      <c r="PZ83" s="2"/>
      <c r="QF83" s="4"/>
      <c r="QH83" s="4"/>
      <c r="QX83" s="3"/>
      <c r="QZ83" s="2"/>
      <c r="RA83" s="2"/>
      <c r="RN83" s="4"/>
      <c r="RO83" s="4"/>
      <c r="RU83" s="2"/>
      <c r="SA83" s="4"/>
      <c r="SC83" s="4"/>
      <c r="SN83" s="2"/>
      <c r="SQ83" s="4"/>
      <c r="SS83" s="4"/>
      <c r="TG83" s="2"/>
      <c r="TH83" s="2"/>
      <c r="TI83" s="2"/>
      <c r="TU83" s="4"/>
      <c r="TW83" s="4"/>
    </row>
    <row r="84" spans="1:543">
      <c r="A84">
        <v>5356</v>
      </c>
      <c r="B84">
        <v>5376</v>
      </c>
      <c r="C84">
        <v>9555739225</v>
      </c>
      <c r="D84" t="s">
        <v>440</v>
      </c>
      <c r="E84" t="s">
        <v>449</v>
      </c>
      <c r="F84" t="s">
        <v>450</v>
      </c>
      <c r="G84" s="2">
        <v>40216</v>
      </c>
      <c r="H84" t="s">
        <v>30</v>
      </c>
      <c r="I84" t="s">
        <v>53</v>
      </c>
      <c r="J84" t="s">
        <v>32</v>
      </c>
      <c r="K84" t="s">
        <v>451</v>
      </c>
      <c r="L84" t="s">
        <v>95</v>
      </c>
      <c r="N84" t="s">
        <v>452</v>
      </c>
      <c r="O84" s="2">
        <f>DATE(YEAR(G84) + P84, MONTH(G84), DAY(G84))</f>
        <v>63957</v>
      </c>
      <c r="P84">
        <v>65</v>
      </c>
      <c r="Q84" s="2"/>
      <c r="R84" t="s">
        <v>47</v>
      </c>
      <c r="S84" t="s">
        <v>181</v>
      </c>
      <c r="T84" s="2">
        <v>41759</v>
      </c>
      <c r="U84" t="s">
        <v>133</v>
      </c>
      <c r="V84" t="s">
        <v>66</v>
      </c>
      <c r="W84">
        <v>21</v>
      </c>
      <c r="X84" s="1">
        <v>13863</v>
      </c>
      <c r="Y84" s="1">
        <v>2772.6000000000004</v>
      </c>
      <c r="Z84" s="1">
        <v>11090.4</v>
      </c>
      <c r="AA84" s="3">
        <v>115</v>
      </c>
      <c r="AK84" s="3"/>
      <c r="AM84" s="4"/>
      <c r="AO84" s="4"/>
      <c r="BA84" s="2"/>
      <c r="BB84" s="2"/>
      <c r="BD84" s="4"/>
      <c r="BF84" s="4"/>
      <c r="BM84" s="2"/>
      <c r="BO84" s="4"/>
      <c r="BQ84" s="4"/>
      <c r="CI84" s="2"/>
      <c r="CJ84" s="2"/>
      <c r="CK84" s="3"/>
      <c r="CL84" s="3"/>
      <c r="CN84" s="2"/>
      <c r="CQ84" s="2"/>
      <c r="CV84" s="4"/>
      <c r="CX84" s="4"/>
      <c r="DB84" s="2"/>
      <c r="DC84" s="2"/>
      <c r="DD84" s="3"/>
      <c r="DE84" s="2"/>
      <c r="DV84" s="2"/>
      <c r="DW84" s="2"/>
      <c r="EF84" s="4"/>
      <c r="EH84" s="4"/>
      <c r="ER84" s="2"/>
      <c r="ES84" s="2"/>
      <c r="EZ84" s="4"/>
      <c r="FQ84" s="4"/>
      <c r="FS84" s="4"/>
      <c r="GE84" s="2"/>
      <c r="GJ84" s="4"/>
      <c r="GL84" s="4"/>
      <c r="GV84" s="2"/>
      <c r="GW84" s="3"/>
      <c r="GX84" s="3"/>
      <c r="HB84" s="3"/>
      <c r="HP84" s="2"/>
      <c r="HS84" s="4"/>
      <c r="HU84" s="4"/>
      <c r="II84" s="4"/>
      <c r="IK84" s="4"/>
      <c r="IT84" s="2"/>
      <c r="IW84" s="4"/>
      <c r="IY84" s="4"/>
      <c r="JH84" s="2"/>
      <c r="JK84" s="4"/>
      <c r="JZ84" s="2"/>
      <c r="KD84" s="4"/>
      <c r="KF84" s="4"/>
      <c r="KJ84" s="4"/>
      <c r="KU84" s="2"/>
      <c r="KW84" s="2"/>
      <c r="LC84" s="2"/>
      <c r="LF84" s="2"/>
      <c r="LT84" s="4"/>
      <c r="LV84" s="4"/>
      <c r="MA84" s="3"/>
      <c r="ME84" s="3"/>
      <c r="NB84" s="2"/>
      <c r="NC84" s="2"/>
      <c r="NJ84" s="2"/>
      <c r="NN84" s="2"/>
      <c r="NO84" s="2"/>
      <c r="NT84" s="4"/>
      <c r="NV84" s="4"/>
      <c r="OA84" s="2"/>
      <c r="OB84" s="2"/>
      <c r="ON84" s="2"/>
      <c r="OO84" s="3"/>
      <c r="OR84" s="4"/>
      <c r="OT84" s="4"/>
      <c r="PD84" s="2"/>
      <c r="PH84" s="2"/>
      <c r="PP84" s="3"/>
      <c r="PQ84" s="2"/>
      <c r="PX84" s="2"/>
      <c r="PZ84" s="2"/>
      <c r="QF84" s="4"/>
      <c r="QH84" s="4"/>
      <c r="QJ84" s="3"/>
      <c r="QZ84" s="2"/>
      <c r="RA84" s="2"/>
      <c r="RN84" s="4"/>
      <c r="RO84" s="4"/>
      <c r="RR84" s="2"/>
      <c r="RT84" s="2"/>
      <c r="SA84" s="4"/>
      <c r="SC84" s="4"/>
      <c r="SN84" s="2"/>
      <c r="SQ84" s="4"/>
      <c r="SS84" s="4"/>
      <c r="TG84" s="2"/>
      <c r="TH84" s="2"/>
      <c r="TI84" s="2"/>
      <c r="TU84" s="4"/>
      <c r="TW84" s="4"/>
    </row>
    <row r="85" spans="1:543">
      <c r="A85">
        <v>913</v>
      </c>
      <c r="B85">
        <v>5515</v>
      </c>
      <c r="C85">
        <v>5798268104</v>
      </c>
      <c r="D85" t="s">
        <v>415</v>
      </c>
      <c r="E85" t="s">
        <v>453</v>
      </c>
      <c r="F85" t="s">
        <v>454</v>
      </c>
      <c r="G85" s="2">
        <v>29889</v>
      </c>
      <c r="H85" t="s">
        <v>43</v>
      </c>
      <c r="I85" t="s">
        <v>130</v>
      </c>
      <c r="J85" t="s">
        <v>32</v>
      </c>
      <c r="K85" t="s">
        <v>455</v>
      </c>
      <c r="L85" t="s">
        <v>95</v>
      </c>
      <c r="N85" t="s">
        <v>456</v>
      </c>
      <c r="O85" s="2">
        <f>DATE(YEAR(G85) + P85, MONTH(G85), DAY(G85))</f>
        <v>52900</v>
      </c>
      <c r="P85">
        <v>63</v>
      </c>
      <c r="Q85" s="2"/>
      <c r="R85" t="s">
        <v>47</v>
      </c>
      <c r="S85" t="s">
        <v>64</v>
      </c>
      <c r="T85" s="2">
        <v>38853</v>
      </c>
      <c r="U85" t="s">
        <v>65</v>
      </c>
      <c r="V85" t="s">
        <v>66</v>
      </c>
      <c r="W85">
        <v>16</v>
      </c>
      <c r="X85" s="1">
        <v>24989</v>
      </c>
      <c r="Y85" s="1">
        <v>4997.8</v>
      </c>
      <c r="Z85" s="1">
        <v>19991.2</v>
      </c>
      <c r="AA85" s="3">
        <v>849</v>
      </c>
      <c r="AJ85" s="3"/>
      <c r="AK85" s="3"/>
      <c r="AM85" s="4"/>
      <c r="AO85" s="4"/>
      <c r="BA85" s="2"/>
      <c r="BB85" s="2"/>
      <c r="BD85" s="4"/>
      <c r="BF85" s="4"/>
      <c r="BM85" s="2"/>
      <c r="BO85" s="4"/>
      <c r="BQ85" s="4"/>
      <c r="CI85" s="2"/>
      <c r="CJ85" s="2"/>
      <c r="CN85" s="2"/>
      <c r="CQ85" s="2"/>
      <c r="CV85" s="4"/>
      <c r="CX85" s="4"/>
      <c r="DB85" s="2"/>
      <c r="DC85" s="2"/>
      <c r="DE85" s="2"/>
      <c r="DF85" s="2"/>
      <c r="DV85" s="2"/>
      <c r="DW85" s="2"/>
      <c r="EF85" s="4"/>
      <c r="EH85" s="4"/>
      <c r="ER85" s="2"/>
      <c r="ES85" s="2"/>
      <c r="EX85" s="4"/>
      <c r="EZ85" s="4"/>
      <c r="FQ85" s="4"/>
      <c r="FS85" s="4"/>
      <c r="GE85" s="2"/>
      <c r="GJ85" s="4"/>
      <c r="GL85" s="4"/>
      <c r="GR85" s="2"/>
      <c r="GS85" s="3"/>
      <c r="GV85" s="2"/>
      <c r="GX85" s="3"/>
      <c r="HB85" s="3"/>
      <c r="HP85" s="2"/>
      <c r="HS85" s="4"/>
      <c r="HU85" s="4"/>
      <c r="IF85" s="3"/>
      <c r="II85" s="4"/>
      <c r="IK85" s="4"/>
      <c r="IS85" s="2"/>
      <c r="IT85" s="2"/>
      <c r="IY85" s="4"/>
      <c r="JH85" s="2"/>
      <c r="JK85" s="4"/>
      <c r="JM85" s="4"/>
      <c r="JZ85" s="2"/>
      <c r="KD85" s="4"/>
      <c r="KJ85" s="4"/>
      <c r="KT85" s="2"/>
      <c r="KU85" s="2"/>
      <c r="KW85" s="2"/>
      <c r="LC85" s="2"/>
      <c r="LF85" s="2"/>
      <c r="LH85" s="3"/>
      <c r="LK85" s="2"/>
      <c r="LT85" s="4"/>
      <c r="LV85" s="4"/>
      <c r="ML85" s="3"/>
      <c r="NB85" s="2"/>
      <c r="NC85" s="2"/>
      <c r="NJ85" s="2"/>
      <c r="NN85" s="2"/>
      <c r="NO85" s="2"/>
      <c r="NT85" s="4"/>
      <c r="NV85" s="4"/>
      <c r="OA85" s="2"/>
      <c r="OB85" s="2"/>
      <c r="OJ85" s="3"/>
      <c r="ON85" s="2"/>
      <c r="OR85" s="4"/>
      <c r="OT85" s="4"/>
      <c r="PD85" s="2"/>
      <c r="PH85" s="2"/>
      <c r="PI85" s="3"/>
      <c r="PQ85" s="2"/>
      <c r="PX85" s="2"/>
      <c r="PY85" s="3"/>
      <c r="PZ85" s="2"/>
      <c r="QF85" s="4"/>
      <c r="QH85" s="4"/>
      <c r="QZ85" s="2"/>
      <c r="RA85" s="2"/>
      <c r="RN85" s="4"/>
      <c r="RR85" s="2"/>
      <c r="RT85" s="2"/>
      <c r="RU85" s="2"/>
      <c r="SA85" s="4"/>
      <c r="SC85" s="4"/>
      <c r="SN85" s="2"/>
      <c r="SQ85" s="4"/>
      <c r="SS85" s="4"/>
      <c r="TG85" s="2"/>
      <c r="TH85" s="2"/>
      <c r="TI85" s="2"/>
      <c r="TO85" s="3"/>
      <c r="TU85" s="4"/>
      <c r="TW85" s="4"/>
    </row>
    <row r="86" spans="1:543">
      <c r="A86">
        <v>7286</v>
      </c>
      <c r="B86">
        <v>7437</v>
      </c>
      <c r="C86" s="3" t="s">
        <v>457</v>
      </c>
      <c r="D86" t="s">
        <v>316</v>
      </c>
      <c r="E86" t="s">
        <v>458</v>
      </c>
      <c r="F86" t="s">
        <v>459</v>
      </c>
      <c r="G86" s="2">
        <v>34747</v>
      </c>
      <c r="H86" t="s">
        <v>43</v>
      </c>
      <c r="I86" t="s">
        <v>60</v>
      </c>
      <c r="J86" t="s">
        <v>32</v>
      </c>
      <c r="K86" t="s">
        <v>460</v>
      </c>
      <c r="L86" t="s">
        <v>34</v>
      </c>
      <c r="M86" s="2"/>
      <c r="N86" t="s">
        <v>461</v>
      </c>
      <c r="O86" s="2">
        <f>DATE(YEAR(G86) + P86, MONTH(G86), DAY(G86))</f>
        <v>58854</v>
      </c>
      <c r="P86">
        <v>66</v>
      </c>
      <c r="Q86" s="2">
        <v>31697</v>
      </c>
      <c r="R86" t="s">
        <v>36</v>
      </c>
      <c r="S86" t="s">
        <v>109</v>
      </c>
      <c r="T86" s="2">
        <v>27120</v>
      </c>
      <c r="U86" t="s">
        <v>38</v>
      </c>
      <c r="V86" t="s">
        <v>56</v>
      </c>
      <c r="W86">
        <v>16</v>
      </c>
      <c r="X86" s="1">
        <v>41781</v>
      </c>
      <c r="Y86" s="1">
        <v>8356.2000000000007</v>
      </c>
      <c r="Z86" s="1">
        <v>33424.800000000003</v>
      </c>
      <c r="AA86" s="3">
        <v>124</v>
      </c>
      <c r="AK86" s="3"/>
      <c r="AM86" s="4"/>
      <c r="AO86" s="4"/>
      <c r="BA86" s="2"/>
      <c r="BB86" s="2"/>
      <c r="BD86" s="4"/>
      <c r="BF86" s="4"/>
      <c r="BM86" s="2"/>
      <c r="BO86" s="4"/>
      <c r="BQ86" s="4"/>
      <c r="CF86" s="3"/>
      <c r="CI86" s="2"/>
      <c r="CJ86" s="2"/>
      <c r="CN86" s="2"/>
      <c r="CQ86" s="2"/>
      <c r="CV86" s="4"/>
      <c r="CX86" s="4"/>
      <c r="DB86" s="2"/>
      <c r="DC86" s="2"/>
      <c r="DE86" s="2"/>
      <c r="DF86" s="2"/>
      <c r="DV86" s="2"/>
      <c r="DW86" s="2"/>
      <c r="EF86" s="4"/>
      <c r="EH86" s="4"/>
      <c r="ER86" s="2"/>
      <c r="ES86" s="2"/>
      <c r="EX86" s="4"/>
      <c r="EZ86" s="4"/>
      <c r="FQ86" s="4"/>
      <c r="FS86" s="4"/>
      <c r="GE86" s="2"/>
      <c r="GJ86" s="4"/>
      <c r="GL86" s="4"/>
      <c r="GR86" s="2"/>
      <c r="GS86" s="3"/>
      <c r="GW86" s="3"/>
      <c r="HB86" s="3"/>
      <c r="HP86" s="2"/>
      <c r="HS86" s="4"/>
      <c r="II86" s="4"/>
      <c r="IK86" s="4"/>
      <c r="IS86" s="2"/>
      <c r="IT86" s="2"/>
      <c r="IV86" s="2"/>
      <c r="IW86" s="4"/>
      <c r="JH86" s="2"/>
      <c r="JK86" s="4"/>
      <c r="JM86" s="4"/>
      <c r="KD86" s="4"/>
      <c r="KF86" s="4"/>
      <c r="KJ86" s="4"/>
      <c r="KT86" s="2"/>
      <c r="KU86" s="2"/>
      <c r="KW86" s="2"/>
      <c r="LC86" s="2"/>
      <c r="LF86" s="2"/>
      <c r="LK86" s="2"/>
      <c r="LT86" s="4"/>
      <c r="LV86" s="4"/>
      <c r="MB86" s="3"/>
      <c r="NB86" s="2"/>
      <c r="NC86" s="2"/>
      <c r="NH86" s="3"/>
      <c r="NJ86" s="2"/>
      <c r="NN86" s="2"/>
      <c r="NO86" s="2"/>
      <c r="NT86" s="4"/>
      <c r="NV86" s="4"/>
      <c r="OA86" s="2"/>
      <c r="OB86" s="2"/>
      <c r="ON86" s="2"/>
      <c r="OR86" s="4"/>
      <c r="OT86" s="4"/>
      <c r="PD86" s="2"/>
      <c r="PH86" s="2"/>
      <c r="PQ86" s="2"/>
      <c r="PX86" s="2"/>
      <c r="PY86" s="3"/>
      <c r="PZ86" s="2"/>
      <c r="QH86" s="4"/>
      <c r="QZ86" s="2"/>
      <c r="RA86" s="2"/>
      <c r="RN86" s="4"/>
      <c r="RO86" s="4"/>
      <c r="RR86" s="2"/>
      <c r="RT86" s="2"/>
      <c r="RU86" s="2"/>
      <c r="SC86" s="4"/>
      <c r="SQ86" s="4"/>
      <c r="TG86" s="2"/>
      <c r="TH86" s="2"/>
      <c r="TI86" s="2"/>
      <c r="TP86" s="3"/>
      <c r="TU86" s="4"/>
      <c r="TW86" s="4"/>
    </row>
    <row r="87" spans="1:543">
      <c r="A87">
        <v>2559</v>
      </c>
      <c r="B87">
        <v>2898</v>
      </c>
      <c r="C87">
        <v>3681967135</v>
      </c>
      <c r="D87" t="s">
        <v>463</v>
      </c>
      <c r="E87" t="s">
        <v>464</v>
      </c>
      <c r="F87" t="s">
        <v>465</v>
      </c>
      <c r="G87" s="2">
        <v>29540</v>
      </c>
      <c r="H87" t="s">
        <v>30</v>
      </c>
      <c r="I87" t="s">
        <v>407</v>
      </c>
      <c r="J87" t="s">
        <v>32</v>
      </c>
      <c r="K87" t="s">
        <v>466</v>
      </c>
      <c r="L87" t="s">
        <v>34</v>
      </c>
      <c r="M87" s="2"/>
      <c r="N87" t="s">
        <v>467</v>
      </c>
      <c r="O87" s="2">
        <f>DATE(YEAR(G87) + P87, MONTH(G87), DAY(G87))</f>
        <v>52185</v>
      </c>
      <c r="P87">
        <v>62</v>
      </c>
      <c r="Q87" s="2"/>
      <c r="R87" t="s">
        <v>47</v>
      </c>
      <c r="S87" t="s">
        <v>109</v>
      </c>
      <c r="T87" s="2">
        <v>24412</v>
      </c>
      <c r="U87" t="s">
        <v>38</v>
      </c>
      <c r="V87" t="s">
        <v>38</v>
      </c>
      <c r="W87">
        <v>8</v>
      </c>
      <c r="X87" s="1">
        <v>87597</v>
      </c>
      <c r="Y87" s="1">
        <v>17519.400000000001</v>
      </c>
      <c r="Z87" s="1">
        <v>70077.600000000006</v>
      </c>
      <c r="AA87" s="3">
        <v>718</v>
      </c>
      <c r="AK87" s="3"/>
      <c r="AM87" s="4"/>
      <c r="AO87" s="4"/>
      <c r="BA87" s="2"/>
      <c r="BB87" s="2"/>
      <c r="BD87" s="4"/>
      <c r="BF87" s="4"/>
      <c r="BM87" s="2"/>
      <c r="BO87" s="4"/>
      <c r="BQ87" s="4"/>
      <c r="CI87" s="2"/>
      <c r="CJ87" s="2"/>
      <c r="CK87" s="3"/>
      <c r="CN87" s="2"/>
      <c r="CQ87" s="2"/>
      <c r="CV87" s="4"/>
      <c r="CX87" s="4"/>
      <c r="DB87" s="2"/>
      <c r="DC87" s="2"/>
      <c r="DE87" s="2"/>
      <c r="DF87" s="2"/>
      <c r="DV87" s="2"/>
      <c r="DW87" s="2"/>
      <c r="EF87" s="4"/>
      <c r="EH87" s="4"/>
      <c r="ER87" s="2"/>
      <c r="ES87" s="2"/>
      <c r="EX87" s="4"/>
      <c r="FQ87" s="4"/>
      <c r="FS87" s="4"/>
      <c r="GE87" s="2"/>
      <c r="GJ87" s="4"/>
      <c r="GR87" s="2"/>
      <c r="GT87" s="3"/>
      <c r="GV87" s="2"/>
      <c r="GW87" s="3"/>
      <c r="GX87" s="3"/>
      <c r="HB87" s="3"/>
      <c r="HP87" s="2"/>
      <c r="HS87" s="4"/>
      <c r="HU87" s="4"/>
      <c r="II87" s="4"/>
      <c r="IK87" s="4"/>
      <c r="IS87" s="2"/>
      <c r="IT87" s="2"/>
      <c r="IV87" s="2"/>
      <c r="IW87" s="4"/>
      <c r="IY87" s="4"/>
      <c r="JH87" s="2"/>
      <c r="JK87" s="4"/>
      <c r="JM87" s="4"/>
      <c r="JZ87" s="2"/>
      <c r="KC87" s="3"/>
      <c r="KD87" s="4"/>
      <c r="KF87" s="4"/>
      <c r="KJ87" s="4"/>
      <c r="KU87" s="2"/>
      <c r="KW87" s="2"/>
      <c r="LC87" s="2"/>
      <c r="LF87" s="2"/>
      <c r="LK87" s="2"/>
      <c r="LT87" s="4"/>
      <c r="LV87" s="4"/>
      <c r="NB87" s="2"/>
      <c r="NC87" s="2"/>
      <c r="NJ87" s="2"/>
      <c r="NN87" s="2"/>
      <c r="NO87" s="2"/>
      <c r="NT87" s="4"/>
      <c r="NV87" s="4"/>
      <c r="OB87" s="2"/>
      <c r="ON87" s="2"/>
      <c r="OR87" s="4"/>
      <c r="OT87" s="4"/>
      <c r="PD87" s="2"/>
      <c r="PH87" s="2"/>
      <c r="PP87" s="3"/>
      <c r="PQ87" s="2"/>
      <c r="PX87" s="2"/>
      <c r="PZ87" s="2"/>
      <c r="QF87" s="4"/>
      <c r="QZ87" s="2"/>
      <c r="RA87" s="2"/>
      <c r="RN87" s="4"/>
      <c r="RO87" s="4"/>
      <c r="RR87" s="2"/>
      <c r="RT87" s="2"/>
      <c r="RU87" s="2"/>
      <c r="SA87" s="4"/>
      <c r="SC87" s="4"/>
      <c r="SN87" s="2"/>
      <c r="SQ87" s="4"/>
      <c r="SS87" s="4"/>
      <c r="TG87" s="2"/>
      <c r="TH87" s="2"/>
      <c r="TI87" s="2"/>
      <c r="TU87" s="4"/>
      <c r="TW87" s="4"/>
    </row>
    <row r="88" spans="1:543">
      <c r="A88">
        <v>8149</v>
      </c>
      <c r="B88">
        <v>3543</v>
      </c>
      <c r="C88">
        <v>5990835775</v>
      </c>
      <c r="D88" t="s">
        <v>463</v>
      </c>
      <c r="E88" t="s">
        <v>468</v>
      </c>
      <c r="F88" t="s">
        <v>469</v>
      </c>
      <c r="G88" s="2">
        <v>36585</v>
      </c>
      <c r="H88" t="s">
        <v>30</v>
      </c>
      <c r="I88" t="s">
        <v>31</v>
      </c>
      <c r="J88" t="s">
        <v>32</v>
      </c>
      <c r="K88" t="s">
        <v>470</v>
      </c>
      <c r="L88" t="s">
        <v>77</v>
      </c>
      <c r="M88" s="2"/>
      <c r="N88" t="s">
        <v>471</v>
      </c>
      <c r="O88" s="2">
        <f>DATE(YEAR(G88) + P88, MONTH(G88), DAY(G88))</f>
        <v>61788</v>
      </c>
      <c r="P88">
        <v>69</v>
      </c>
      <c r="Q88" s="2">
        <v>32271</v>
      </c>
      <c r="R88" t="s">
        <v>36</v>
      </c>
      <c r="S88" t="s">
        <v>37</v>
      </c>
      <c r="T88" s="2">
        <v>40275</v>
      </c>
      <c r="U88" t="s">
        <v>133</v>
      </c>
      <c r="V88" t="s">
        <v>38</v>
      </c>
      <c r="W88">
        <v>19</v>
      </c>
      <c r="X88" s="1">
        <v>88343</v>
      </c>
      <c r="Y88" s="1">
        <v>17668.600000000002</v>
      </c>
      <c r="Z88" s="1">
        <v>70674.399999999994</v>
      </c>
      <c r="AA88" s="3">
        <v>822</v>
      </c>
      <c r="AK88" s="3"/>
      <c r="AM88" s="4"/>
      <c r="AO88" s="4"/>
      <c r="BA88" s="2"/>
      <c r="BB88" s="2"/>
      <c r="BD88" s="4"/>
      <c r="BM88" s="2"/>
      <c r="BO88" s="4"/>
      <c r="BQ88" s="4"/>
      <c r="CH88" s="3"/>
      <c r="CI88" s="2"/>
      <c r="CJ88" s="2"/>
      <c r="CN88" s="2"/>
      <c r="CQ88" s="2"/>
      <c r="CV88" s="4"/>
      <c r="CX88" s="4"/>
      <c r="DB88" s="2"/>
      <c r="DC88" s="2"/>
      <c r="DE88" s="2"/>
      <c r="DF88" s="2"/>
      <c r="DV88" s="2"/>
      <c r="DW88" s="2"/>
      <c r="EF88" s="4"/>
      <c r="EH88" s="4"/>
      <c r="ER88" s="2"/>
      <c r="ES88" s="2"/>
      <c r="EZ88" s="4"/>
      <c r="FQ88" s="4"/>
      <c r="FS88" s="4"/>
      <c r="GE88" s="2"/>
      <c r="GJ88" s="4"/>
      <c r="GL88" s="4"/>
      <c r="GS88" s="3"/>
      <c r="GV88" s="2"/>
      <c r="GW88" s="3"/>
      <c r="GX88" s="3"/>
      <c r="GY88" s="3"/>
      <c r="HB88" s="3"/>
      <c r="HP88" s="2"/>
      <c r="HS88" s="4"/>
      <c r="HU88" s="4"/>
      <c r="II88" s="4"/>
      <c r="IK88" s="4"/>
      <c r="IS88" s="2"/>
      <c r="IT88" s="2"/>
      <c r="IV88" s="2"/>
      <c r="IW88" s="4"/>
      <c r="JH88" s="2"/>
      <c r="JK88" s="4"/>
      <c r="JM88" s="4"/>
      <c r="JZ88" s="2"/>
      <c r="KC88" s="3"/>
      <c r="KD88" s="4"/>
      <c r="KF88" s="4"/>
      <c r="KJ88" s="4"/>
      <c r="KT88" s="2"/>
      <c r="KU88" s="2"/>
      <c r="KW88" s="2"/>
      <c r="LC88" s="2"/>
      <c r="LF88" s="2"/>
      <c r="LT88" s="4"/>
      <c r="LV88" s="4"/>
      <c r="NB88" s="2"/>
      <c r="NJ88" s="2"/>
      <c r="NN88" s="2"/>
      <c r="NO88" s="2"/>
      <c r="NT88" s="4"/>
      <c r="NV88" s="4"/>
      <c r="OA88" s="2"/>
      <c r="OB88" s="2"/>
      <c r="OJ88" s="3"/>
      <c r="ON88" s="2"/>
      <c r="OR88" s="4"/>
      <c r="OT88" s="4"/>
      <c r="PD88" s="2"/>
      <c r="PH88" s="2"/>
      <c r="PQ88" s="2"/>
      <c r="PZ88" s="2"/>
      <c r="QF88" s="4"/>
      <c r="QH88" s="4"/>
      <c r="QX88" s="3"/>
      <c r="QZ88" s="2"/>
      <c r="RA88" s="2"/>
      <c r="RN88" s="4"/>
      <c r="RO88" s="4"/>
      <c r="RR88" s="2"/>
      <c r="RT88" s="2"/>
      <c r="RU88" s="2"/>
      <c r="SC88" s="4"/>
      <c r="SN88" s="2"/>
      <c r="SS88" s="4"/>
      <c r="TG88" s="2"/>
      <c r="TH88" s="2"/>
      <c r="TI88" s="2"/>
      <c r="TU88" s="4"/>
      <c r="TW88" s="4"/>
    </row>
    <row r="89" spans="1:543">
      <c r="A89">
        <v>7064</v>
      </c>
      <c r="B89">
        <v>6306</v>
      </c>
      <c r="C89" s="3" t="s">
        <v>472</v>
      </c>
      <c r="D89" t="s">
        <v>72</v>
      </c>
      <c r="E89" t="s">
        <v>473</v>
      </c>
      <c r="F89" t="s">
        <v>474</v>
      </c>
      <c r="G89" s="2">
        <v>32195</v>
      </c>
      <c r="H89" t="s">
        <v>30</v>
      </c>
      <c r="I89" t="s">
        <v>75</v>
      </c>
      <c r="J89" t="s">
        <v>32</v>
      </c>
      <c r="K89" t="s">
        <v>475</v>
      </c>
      <c r="L89" t="s">
        <v>34</v>
      </c>
      <c r="M89" s="2"/>
      <c r="N89" t="s">
        <v>476</v>
      </c>
      <c r="O89" s="2">
        <f>DATE(YEAR(G89) + P89, MONTH(G89), DAY(G89))</f>
        <v>57398</v>
      </c>
      <c r="P89">
        <v>69</v>
      </c>
      <c r="Q89" s="2"/>
      <c r="R89" t="s">
        <v>47</v>
      </c>
      <c r="S89" t="s">
        <v>37</v>
      </c>
      <c r="T89" s="2">
        <v>44293</v>
      </c>
      <c r="U89" t="s">
        <v>103</v>
      </c>
      <c r="V89" t="s">
        <v>66</v>
      </c>
      <c r="W89">
        <v>10</v>
      </c>
      <c r="X89" s="1">
        <v>2078</v>
      </c>
      <c r="Y89" s="1">
        <v>415.6</v>
      </c>
      <c r="Z89" s="1">
        <v>1662.4</v>
      </c>
      <c r="AA89" s="3">
        <v>446</v>
      </c>
      <c r="AB89" s="3"/>
      <c r="AK89" s="3"/>
      <c r="AM89" s="4"/>
      <c r="AO89" s="4"/>
      <c r="BA89" s="2"/>
      <c r="BB89" s="2"/>
      <c r="BD89" s="4"/>
      <c r="BF89" s="4"/>
      <c r="BM89" s="2"/>
      <c r="BO89" s="4"/>
      <c r="BQ89" s="4"/>
      <c r="CI89" s="2"/>
      <c r="CN89" s="2"/>
      <c r="CQ89" s="2"/>
      <c r="CV89" s="4"/>
      <c r="CX89" s="4"/>
      <c r="DC89" s="2"/>
      <c r="DE89" s="2"/>
      <c r="DF89" s="2"/>
      <c r="DV89" s="2"/>
      <c r="DW89" s="2"/>
      <c r="EF89" s="4"/>
      <c r="EH89" s="4"/>
      <c r="ER89" s="2"/>
      <c r="ES89" s="2"/>
      <c r="EX89" s="4"/>
      <c r="EZ89" s="4"/>
      <c r="FQ89" s="4"/>
      <c r="FS89" s="4"/>
      <c r="GE89" s="2"/>
      <c r="GJ89" s="4"/>
      <c r="GL89" s="4"/>
      <c r="GR89" s="2"/>
      <c r="GV89" s="2"/>
      <c r="GX89" s="3"/>
      <c r="GY89" s="3"/>
      <c r="HB89" s="3"/>
      <c r="HS89" s="4"/>
      <c r="HU89" s="4"/>
      <c r="II89" s="4"/>
      <c r="IK89" s="4"/>
      <c r="IS89" s="2"/>
      <c r="IT89" s="2"/>
      <c r="IV89" s="2"/>
      <c r="IW89" s="4"/>
      <c r="IY89" s="4"/>
      <c r="JH89" s="2"/>
      <c r="JK89" s="4"/>
      <c r="JM89" s="4"/>
      <c r="KD89" s="4"/>
      <c r="KF89" s="4"/>
      <c r="KJ89" s="4"/>
      <c r="KT89" s="2"/>
      <c r="KW89" s="2"/>
      <c r="LC89" s="2"/>
      <c r="LF89" s="2"/>
      <c r="LK89" s="2"/>
      <c r="LT89" s="4"/>
      <c r="NB89" s="2"/>
      <c r="NC89" s="2"/>
      <c r="NH89" s="3"/>
      <c r="NJ89" s="2"/>
      <c r="NN89" s="2"/>
      <c r="NO89" s="2"/>
      <c r="NT89" s="4"/>
      <c r="NV89" s="4"/>
      <c r="OA89" s="2"/>
      <c r="OB89" s="2"/>
      <c r="OK89" s="3"/>
      <c r="ON89" s="2"/>
      <c r="OR89" s="4"/>
      <c r="OT89" s="4"/>
      <c r="PD89" s="2"/>
      <c r="PH89" s="2"/>
      <c r="PQ89" s="2"/>
      <c r="PX89" s="2"/>
      <c r="PY89" s="3"/>
      <c r="PZ89" s="2"/>
      <c r="QF89" s="4"/>
      <c r="QH89" s="4"/>
      <c r="QZ89" s="2"/>
      <c r="RA89" s="2"/>
      <c r="RN89" s="4"/>
      <c r="RO89" s="4"/>
      <c r="RR89" s="2"/>
      <c r="RT89" s="2"/>
      <c r="RU89" s="2"/>
      <c r="SA89" s="4"/>
      <c r="SN89" s="2"/>
      <c r="SQ89" s="4"/>
      <c r="SS89" s="4"/>
      <c r="TG89" s="2"/>
      <c r="TH89" s="2"/>
      <c r="TI89" s="2"/>
      <c r="TU89" s="4"/>
      <c r="TW89" s="4"/>
    </row>
    <row r="90" spans="1:543">
      <c r="A90">
        <v>8800</v>
      </c>
      <c r="B90">
        <v>5512</v>
      </c>
      <c r="C90" s="3" t="s">
        <v>477</v>
      </c>
      <c r="D90" t="s">
        <v>478</v>
      </c>
      <c r="E90" t="s">
        <v>479</v>
      </c>
      <c r="F90" t="s">
        <v>480</v>
      </c>
      <c r="G90" s="2">
        <v>39451</v>
      </c>
      <c r="H90" t="s">
        <v>30</v>
      </c>
      <c r="I90" t="s">
        <v>137</v>
      </c>
      <c r="J90" t="s">
        <v>32</v>
      </c>
      <c r="K90" t="s">
        <v>481</v>
      </c>
      <c r="L90" t="s">
        <v>34</v>
      </c>
      <c r="M90" s="2">
        <v>44841</v>
      </c>
      <c r="N90" t="s">
        <v>482</v>
      </c>
      <c r="O90" s="2">
        <f>DATE(YEAR(G90) + P90, MONTH(G90), DAY(G90))</f>
        <v>63193</v>
      </c>
      <c r="P90">
        <v>65</v>
      </c>
      <c r="Q90" s="2"/>
      <c r="R90" t="s">
        <v>47</v>
      </c>
      <c r="S90" t="s">
        <v>102</v>
      </c>
      <c r="T90" s="2">
        <v>34733</v>
      </c>
      <c r="U90" t="s">
        <v>49</v>
      </c>
      <c r="V90" t="s">
        <v>56</v>
      </c>
      <c r="W90">
        <v>10</v>
      </c>
      <c r="X90" s="1">
        <v>20069</v>
      </c>
      <c r="Y90" s="1">
        <v>4013.8</v>
      </c>
      <c r="Z90" s="1">
        <v>16055.2</v>
      </c>
      <c r="AA90" s="3">
        <v>29</v>
      </c>
      <c r="AK90" s="3"/>
      <c r="AM90" s="4"/>
      <c r="AO90" s="4"/>
      <c r="BA90" s="2"/>
      <c r="BB90" s="2"/>
      <c r="BD90" s="4"/>
      <c r="BF90" s="4"/>
      <c r="BM90" s="2"/>
      <c r="BO90" s="4"/>
      <c r="BQ90" s="4"/>
      <c r="CI90" s="2"/>
      <c r="CJ90" s="2"/>
      <c r="CN90" s="2"/>
      <c r="CP90" s="3"/>
      <c r="CQ90" s="2"/>
      <c r="CV90" s="4"/>
      <c r="CX90" s="4"/>
      <c r="DB90" s="2"/>
      <c r="DC90" s="2"/>
      <c r="DE90" s="2"/>
      <c r="DF90" s="2"/>
      <c r="DV90" s="2"/>
      <c r="DW90" s="2"/>
      <c r="DY90" s="3"/>
      <c r="EF90" s="4"/>
      <c r="EH90" s="4"/>
      <c r="ER90" s="2"/>
      <c r="ES90" s="2"/>
      <c r="EZ90" s="4"/>
      <c r="FQ90" s="4"/>
      <c r="FS90" s="4"/>
      <c r="GD90" s="3"/>
      <c r="GE90" s="2"/>
      <c r="GJ90" s="4"/>
      <c r="GL90" s="4"/>
      <c r="GR90" s="2"/>
      <c r="GS90" s="3"/>
      <c r="GV90" s="2"/>
      <c r="GY90" s="3"/>
      <c r="HB90" s="3"/>
      <c r="HP90" s="2"/>
      <c r="HS90" s="4"/>
      <c r="HU90" s="4"/>
      <c r="II90" s="4"/>
      <c r="IK90" s="4"/>
      <c r="IS90" s="2"/>
      <c r="IT90" s="2"/>
      <c r="IV90" s="2"/>
      <c r="IW90" s="4"/>
      <c r="IY90" s="4"/>
      <c r="JH90" s="2"/>
      <c r="JK90" s="4"/>
      <c r="JM90" s="4"/>
      <c r="JZ90" s="2"/>
      <c r="KD90" s="4"/>
      <c r="KF90" s="4"/>
      <c r="KJ90" s="4"/>
      <c r="KT90" s="2"/>
      <c r="KU90" s="2"/>
      <c r="KW90" s="2"/>
      <c r="LC90" s="2"/>
      <c r="LF90" s="2"/>
      <c r="LK90" s="2"/>
      <c r="LT90" s="4"/>
      <c r="LV90" s="4"/>
      <c r="MC90" s="3"/>
      <c r="MF90" s="3"/>
      <c r="NB90" s="2"/>
      <c r="NC90" s="2"/>
      <c r="NJ90" s="2"/>
      <c r="NN90" s="2"/>
      <c r="NO90" s="2"/>
      <c r="NT90" s="4"/>
      <c r="NV90" s="4"/>
      <c r="OB90" s="2"/>
      <c r="ON90" s="2"/>
      <c r="OR90" s="4"/>
      <c r="OT90" s="4"/>
      <c r="PD90" s="2"/>
      <c r="PH90" s="2"/>
      <c r="PQ90" s="2"/>
      <c r="PX90" s="2"/>
      <c r="PZ90" s="2"/>
      <c r="QF90" s="4"/>
      <c r="QH90" s="4"/>
      <c r="QZ90" s="2"/>
      <c r="RA90" s="2"/>
      <c r="RN90" s="4"/>
      <c r="RO90" s="4"/>
      <c r="RR90" s="2"/>
      <c r="RT90" s="2"/>
      <c r="RU90" s="2"/>
      <c r="SA90" s="4"/>
      <c r="SC90" s="4"/>
      <c r="SN90" s="2"/>
      <c r="SQ90" s="4"/>
      <c r="SS90" s="4"/>
      <c r="TG90" s="2"/>
      <c r="TH90" s="2"/>
      <c r="TI90" s="2"/>
      <c r="TU90" s="4"/>
      <c r="TW90" s="4"/>
    </row>
    <row r="91" spans="1:543">
      <c r="A91">
        <v>861</v>
      </c>
      <c r="B91">
        <v>2174</v>
      </c>
      <c r="C91" s="3" t="s">
        <v>484</v>
      </c>
      <c r="D91" t="s">
        <v>421</v>
      </c>
      <c r="E91" t="s">
        <v>485</v>
      </c>
      <c r="F91" t="s">
        <v>486</v>
      </c>
      <c r="G91" s="2">
        <v>40339</v>
      </c>
      <c r="H91" t="s">
        <v>43</v>
      </c>
      <c r="I91" t="s">
        <v>137</v>
      </c>
      <c r="J91" t="s">
        <v>61</v>
      </c>
      <c r="K91" t="s">
        <v>487</v>
      </c>
      <c r="L91" t="s">
        <v>77</v>
      </c>
      <c r="M91" s="2">
        <v>44384</v>
      </c>
      <c r="N91" t="s">
        <v>488</v>
      </c>
      <c r="O91" s="2">
        <f>DATE(YEAR(G91) + P91, MONTH(G91), DAY(G91))</f>
        <v>62254</v>
      </c>
      <c r="P91">
        <v>60</v>
      </c>
      <c r="Q91" s="2"/>
      <c r="R91" t="s">
        <v>47</v>
      </c>
      <c r="S91" t="s">
        <v>102</v>
      </c>
      <c r="T91" s="2">
        <v>44560</v>
      </c>
      <c r="U91" t="s">
        <v>65</v>
      </c>
      <c r="V91" t="s">
        <v>39</v>
      </c>
      <c r="W91">
        <v>15</v>
      </c>
      <c r="X91" s="1">
        <v>82109</v>
      </c>
      <c r="Y91" s="1">
        <v>16421.8</v>
      </c>
      <c r="Z91" s="1">
        <v>65687.199999999997</v>
      </c>
      <c r="AA91" s="3">
        <v>814</v>
      </c>
      <c r="AK91" s="3"/>
      <c r="AM91" s="4"/>
      <c r="AO91" s="4"/>
      <c r="BA91" s="2"/>
      <c r="BB91" s="2"/>
      <c r="BD91" s="4"/>
      <c r="BF91" s="4"/>
      <c r="BM91" s="2"/>
      <c r="BO91" s="4"/>
      <c r="BQ91" s="4"/>
      <c r="CI91" s="2"/>
      <c r="CJ91" s="2"/>
      <c r="CP91" s="3"/>
      <c r="CQ91" s="2"/>
      <c r="CV91" s="4"/>
      <c r="CX91" s="4"/>
      <c r="DB91" s="2"/>
      <c r="DC91" s="2"/>
      <c r="DE91" s="2"/>
      <c r="DF91" s="2"/>
      <c r="DV91" s="2"/>
      <c r="DW91" s="2"/>
      <c r="EF91" s="4"/>
      <c r="EH91" s="4"/>
      <c r="ES91" s="2"/>
      <c r="EX91" s="4"/>
      <c r="EZ91" s="4"/>
      <c r="FQ91" s="4"/>
      <c r="FS91" s="4"/>
      <c r="GE91" s="2"/>
      <c r="GJ91" s="4"/>
      <c r="GL91" s="4"/>
      <c r="GR91" s="2"/>
      <c r="GS91" s="3"/>
      <c r="GT91" s="3"/>
      <c r="GV91" s="2"/>
      <c r="GW91" s="3"/>
      <c r="GX91" s="3"/>
      <c r="HB91" s="3"/>
      <c r="HP91" s="2"/>
      <c r="HS91" s="4"/>
      <c r="HU91" s="4"/>
      <c r="II91" s="4"/>
      <c r="IK91" s="4"/>
      <c r="IT91" s="2"/>
      <c r="IV91" s="2"/>
      <c r="IW91" s="4"/>
      <c r="IY91" s="4"/>
      <c r="JH91" s="2"/>
      <c r="JK91" s="4"/>
      <c r="JM91" s="4"/>
      <c r="JZ91" s="2"/>
      <c r="KA91" s="3"/>
      <c r="KD91" s="4"/>
      <c r="KF91" s="4"/>
      <c r="KJ91" s="4"/>
      <c r="KT91" s="2"/>
      <c r="KU91" s="2"/>
      <c r="KW91" s="2"/>
      <c r="LC91" s="2"/>
      <c r="LF91" s="2"/>
      <c r="LK91" s="2"/>
      <c r="LT91" s="4"/>
      <c r="ME91" s="3"/>
      <c r="ML91" s="3"/>
      <c r="NB91" s="2"/>
      <c r="NG91" s="5"/>
      <c r="NJ91" s="2"/>
      <c r="NN91" s="2"/>
      <c r="NO91" s="2"/>
      <c r="NT91" s="4"/>
      <c r="NV91" s="4"/>
      <c r="OB91" s="2"/>
      <c r="OJ91" s="3"/>
      <c r="ON91" s="2"/>
      <c r="OR91" s="4"/>
      <c r="OT91" s="4"/>
      <c r="PD91" s="2"/>
      <c r="PH91" s="2"/>
      <c r="PQ91" s="2"/>
      <c r="PX91" s="2"/>
      <c r="PZ91" s="2"/>
      <c r="QF91" s="4"/>
      <c r="QH91" s="4"/>
      <c r="RA91" s="2"/>
      <c r="RN91" s="4"/>
      <c r="RO91" s="4"/>
      <c r="RR91" s="2"/>
      <c r="RT91" s="2"/>
      <c r="RU91" s="2"/>
      <c r="SA91" s="4"/>
      <c r="SC91" s="4"/>
      <c r="SN91" s="2"/>
      <c r="SQ91" s="4"/>
      <c r="SS91" s="4"/>
      <c r="TG91" s="2"/>
      <c r="TH91" s="2"/>
      <c r="TU91" s="4"/>
      <c r="TW91" s="4"/>
    </row>
    <row r="92" spans="1:543">
      <c r="A92">
        <v>1971</v>
      </c>
      <c r="B92">
        <v>1091</v>
      </c>
      <c r="C92">
        <v>3201478159</v>
      </c>
      <c r="D92" t="s">
        <v>72</v>
      </c>
      <c r="E92" t="s">
        <v>489</v>
      </c>
      <c r="F92" t="s">
        <v>490</v>
      </c>
      <c r="G92" s="2">
        <v>35719</v>
      </c>
      <c r="H92" t="s">
        <v>43</v>
      </c>
      <c r="I92" t="s">
        <v>44</v>
      </c>
      <c r="J92" t="s">
        <v>61</v>
      </c>
      <c r="K92" t="s">
        <v>491</v>
      </c>
      <c r="L92" t="s">
        <v>95</v>
      </c>
      <c r="M92" s="2">
        <v>43983</v>
      </c>
      <c r="N92" t="s">
        <v>492</v>
      </c>
      <c r="O92" s="2">
        <f>DATE(YEAR(G92) + P92, MONTH(G92), DAY(G92))</f>
        <v>57999</v>
      </c>
      <c r="P92">
        <v>61</v>
      </c>
      <c r="Q92" s="2"/>
      <c r="R92" t="s">
        <v>47</v>
      </c>
      <c r="S92" t="s">
        <v>102</v>
      </c>
      <c r="T92" s="2">
        <v>37595</v>
      </c>
      <c r="U92" t="s">
        <v>133</v>
      </c>
      <c r="V92" t="s">
        <v>56</v>
      </c>
      <c r="W92">
        <v>1</v>
      </c>
      <c r="X92" s="1">
        <v>60431</v>
      </c>
      <c r="Y92" s="1">
        <v>12086.2</v>
      </c>
      <c r="Z92" s="1">
        <v>48344.800000000003</v>
      </c>
      <c r="AA92" s="3">
        <v>745</v>
      </c>
      <c r="AK92" s="3"/>
      <c r="AM92" s="4"/>
      <c r="AO92" s="4"/>
      <c r="BA92" s="2"/>
      <c r="BB92" s="2"/>
      <c r="BD92" s="4"/>
      <c r="BF92" s="4"/>
      <c r="BM92" s="2"/>
      <c r="BO92" s="4"/>
      <c r="BQ92" s="4"/>
      <c r="CI92" s="2"/>
      <c r="CJ92" s="2"/>
      <c r="CN92" s="2"/>
      <c r="CQ92" s="2"/>
      <c r="CV92" s="4"/>
      <c r="CX92" s="4"/>
      <c r="DB92" s="2"/>
      <c r="DC92" s="2"/>
      <c r="DE92" s="2"/>
      <c r="DF92" s="2"/>
      <c r="DV92" s="2"/>
      <c r="DW92" s="2"/>
      <c r="EF92" s="4"/>
      <c r="EH92" s="4"/>
      <c r="ES92" s="2"/>
      <c r="EX92" s="4"/>
      <c r="EZ92" s="4"/>
      <c r="FQ92" s="4"/>
      <c r="FS92" s="4"/>
      <c r="GE92" s="2"/>
      <c r="GJ92" s="4"/>
      <c r="GL92" s="4"/>
      <c r="GR92" s="2"/>
      <c r="GV92" s="2"/>
      <c r="GW92" s="3"/>
      <c r="GX92" s="3"/>
      <c r="GY92" s="3"/>
      <c r="HB92" s="3"/>
      <c r="HP92" s="2"/>
      <c r="HS92" s="4"/>
      <c r="HU92" s="4"/>
      <c r="IK92" s="4"/>
      <c r="IS92" s="2"/>
      <c r="IT92" s="2"/>
      <c r="IV92" s="2"/>
      <c r="IW92" s="4"/>
      <c r="IY92" s="4"/>
      <c r="JH92" s="2"/>
      <c r="JM92" s="4"/>
      <c r="JZ92" s="2"/>
      <c r="KD92" s="4"/>
      <c r="KF92" s="4"/>
      <c r="KJ92" s="4"/>
      <c r="KT92" s="2"/>
      <c r="KU92" s="2"/>
      <c r="KW92" s="2"/>
      <c r="LC92" s="2"/>
      <c r="LF92" s="2"/>
      <c r="LK92" s="2"/>
      <c r="LT92" s="4"/>
      <c r="LV92" s="4"/>
      <c r="MA92" s="3"/>
      <c r="ME92" s="3"/>
      <c r="MG92" s="3"/>
      <c r="NC92" s="2"/>
      <c r="NH92" s="3"/>
      <c r="NJ92" s="2"/>
      <c r="NN92" s="2"/>
      <c r="NO92" s="2"/>
      <c r="NT92" s="4"/>
      <c r="NV92" s="4"/>
      <c r="OA92" s="2"/>
      <c r="OB92" s="2"/>
      <c r="ON92" s="2"/>
      <c r="OR92" s="4"/>
      <c r="OT92" s="4"/>
      <c r="PD92" s="2"/>
      <c r="PX92" s="2"/>
      <c r="PZ92" s="2"/>
      <c r="QF92" s="4"/>
      <c r="QH92" s="4"/>
      <c r="QZ92" s="2"/>
      <c r="RN92" s="4"/>
      <c r="RO92" s="4"/>
      <c r="RR92" s="2"/>
      <c r="RT92" s="2"/>
      <c r="RU92" s="2"/>
      <c r="SA92" s="4"/>
      <c r="SC92" s="4"/>
      <c r="SN92" s="2"/>
      <c r="SS92" s="4"/>
      <c r="TG92" s="2"/>
      <c r="TH92" s="2"/>
      <c r="TI92" s="2"/>
      <c r="TN92" s="3"/>
      <c r="TU92" s="4"/>
      <c r="TW92" s="4"/>
    </row>
    <row r="93" spans="1:543">
      <c r="A93">
        <v>8874</v>
      </c>
      <c r="B93">
        <v>1587</v>
      </c>
      <c r="C93">
        <v>4030864166</v>
      </c>
      <c r="D93" t="s">
        <v>104</v>
      </c>
      <c r="E93" t="s">
        <v>493</v>
      </c>
      <c r="F93" t="s">
        <v>494</v>
      </c>
      <c r="G93" s="2">
        <v>39970</v>
      </c>
      <c r="H93" t="s">
        <v>43</v>
      </c>
      <c r="I93" t="s">
        <v>31</v>
      </c>
      <c r="J93" t="s">
        <v>61</v>
      </c>
      <c r="K93" t="s">
        <v>495</v>
      </c>
      <c r="L93" t="s">
        <v>95</v>
      </c>
      <c r="M93" s="2">
        <v>39307</v>
      </c>
      <c r="N93" t="s">
        <v>496</v>
      </c>
      <c r="O93" s="2">
        <f>DATE(YEAR(G93) + P93, MONTH(G93), DAY(G93))</f>
        <v>64807</v>
      </c>
      <c r="P93">
        <v>68</v>
      </c>
      <c r="Q93" s="2"/>
      <c r="R93" t="s">
        <v>47</v>
      </c>
      <c r="S93" t="s">
        <v>64</v>
      </c>
      <c r="T93" s="2">
        <v>23292</v>
      </c>
      <c r="U93" t="s">
        <v>65</v>
      </c>
      <c r="V93" t="s">
        <v>38</v>
      </c>
      <c r="W93">
        <v>13</v>
      </c>
      <c r="X93" s="1">
        <v>60320</v>
      </c>
      <c r="Y93" s="1">
        <v>12064</v>
      </c>
      <c r="Z93" s="1">
        <v>48256</v>
      </c>
      <c r="AA93" s="3">
        <v>800</v>
      </c>
      <c r="AK93" s="3"/>
      <c r="AO93" s="4"/>
      <c r="BA93" s="2"/>
      <c r="BB93" s="2"/>
      <c r="BD93" s="4"/>
      <c r="BF93" s="4"/>
      <c r="BM93" s="2"/>
      <c r="BO93" s="4"/>
      <c r="BQ93" s="4"/>
      <c r="CI93" s="2"/>
      <c r="CJ93" s="2"/>
      <c r="CM93" s="3"/>
      <c r="CN93" s="2"/>
      <c r="CP93" s="3"/>
      <c r="CQ93" s="2"/>
      <c r="CV93" s="4"/>
      <c r="CX93" s="4"/>
      <c r="DA93" s="3"/>
      <c r="DB93" s="2"/>
      <c r="DC93" s="2"/>
      <c r="DE93" s="2"/>
      <c r="DF93" s="2"/>
      <c r="DV93" s="2"/>
      <c r="DW93" s="2"/>
      <c r="DY93" s="3"/>
      <c r="EF93" s="4"/>
      <c r="ER93" s="2"/>
      <c r="ES93" s="2"/>
      <c r="EV93" s="3"/>
      <c r="EX93" s="4"/>
      <c r="EZ93" s="4"/>
      <c r="FQ93" s="4"/>
      <c r="FS93" s="4"/>
      <c r="GE93" s="2"/>
      <c r="GJ93" s="4"/>
      <c r="GL93" s="4"/>
      <c r="GS93" s="3"/>
      <c r="GV93" s="2"/>
      <c r="GW93" s="3"/>
      <c r="GY93" s="3"/>
      <c r="HB93" s="3"/>
      <c r="HP93" s="2"/>
      <c r="HS93" s="4"/>
      <c r="HU93" s="4"/>
      <c r="II93" s="4"/>
      <c r="IS93" s="2"/>
      <c r="IT93" s="2"/>
      <c r="IV93" s="2"/>
      <c r="JH93" s="2"/>
      <c r="JK93" s="4"/>
      <c r="JM93" s="4"/>
      <c r="JZ93" s="2"/>
      <c r="KA93" s="3"/>
      <c r="KD93" s="4"/>
      <c r="KF93" s="4"/>
      <c r="KJ93" s="4"/>
      <c r="KT93" s="2"/>
      <c r="KU93" s="2"/>
      <c r="KW93" s="2"/>
      <c r="LC93" s="2"/>
      <c r="LF93" s="2"/>
      <c r="LK93" s="2"/>
      <c r="LT93" s="4"/>
      <c r="LV93" s="4"/>
      <c r="ME93" s="3"/>
      <c r="NC93" s="2"/>
      <c r="NJ93" s="2"/>
      <c r="NN93" s="2"/>
      <c r="NO93" s="2"/>
      <c r="NP93" s="3"/>
      <c r="NT93" s="4"/>
      <c r="NV93" s="4"/>
      <c r="OA93" s="2"/>
      <c r="OB93" s="2"/>
      <c r="ON93" s="2"/>
      <c r="OT93" s="4"/>
      <c r="PD93" s="2"/>
      <c r="PH93" s="2"/>
      <c r="PQ93" s="2"/>
      <c r="PX93" s="2"/>
      <c r="PZ93" s="2"/>
      <c r="QF93" s="4"/>
      <c r="QH93" s="4"/>
      <c r="QZ93" s="2"/>
      <c r="RA93" s="2"/>
      <c r="RN93" s="4"/>
      <c r="RO93" s="4"/>
      <c r="RR93" s="2"/>
      <c r="RT93" s="2"/>
      <c r="RU93" s="2"/>
      <c r="SA93" s="4"/>
      <c r="SC93" s="4"/>
      <c r="SN93" s="2"/>
      <c r="SQ93" s="4"/>
      <c r="SS93" s="4"/>
      <c r="TG93" s="2"/>
      <c r="TH93" s="2"/>
      <c r="TI93" s="2"/>
      <c r="TU93" s="4"/>
      <c r="TW93" s="4"/>
    </row>
    <row r="94" spans="1:543">
      <c r="A94">
        <v>7047</v>
      </c>
      <c r="B94">
        <v>6351</v>
      </c>
      <c r="C94">
        <v>7039602483</v>
      </c>
      <c r="D94" t="s">
        <v>172</v>
      </c>
      <c r="E94" t="s">
        <v>497</v>
      </c>
      <c r="F94" t="s">
        <v>498</v>
      </c>
      <c r="G94" s="2">
        <v>37597</v>
      </c>
      <c r="H94" t="s">
        <v>43</v>
      </c>
      <c r="I94" t="s">
        <v>143</v>
      </c>
      <c r="J94" t="s">
        <v>61</v>
      </c>
      <c r="K94" t="s">
        <v>499</v>
      </c>
      <c r="L94" t="s">
        <v>34</v>
      </c>
      <c r="M94" s="2">
        <v>44681</v>
      </c>
      <c r="N94" t="s">
        <v>500</v>
      </c>
      <c r="O94" s="2">
        <f>DATE(YEAR(G94) + P94, MONTH(G94), DAY(G94))</f>
        <v>61704</v>
      </c>
      <c r="P94">
        <v>66</v>
      </c>
      <c r="Q94" s="2"/>
      <c r="R94" t="s">
        <v>47</v>
      </c>
      <c r="S94" t="s">
        <v>48</v>
      </c>
      <c r="T94" s="2">
        <v>38356</v>
      </c>
      <c r="U94" t="s">
        <v>49</v>
      </c>
      <c r="V94" t="s">
        <v>39</v>
      </c>
      <c r="W94">
        <v>3</v>
      </c>
      <c r="X94" s="1">
        <v>20477</v>
      </c>
      <c r="Y94" s="1">
        <v>4095.4</v>
      </c>
      <c r="Z94" s="1">
        <v>16381.6</v>
      </c>
      <c r="AA94" s="3">
        <v>144</v>
      </c>
      <c r="AK94" s="3"/>
      <c r="AM94" s="4"/>
      <c r="AO94" s="4"/>
      <c r="BA94" s="2"/>
      <c r="BB94" s="2"/>
      <c r="BD94" s="4"/>
      <c r="BM94" s="2"/>
      <c r="BO94" s="4"/>
      <c r="BQ94" s="4"/>
      <c r="CI94" s="2"/>
      <c r="CJ94" s="2"/>
      <c r="CQ94" s="2"/>
      <c r="CV94" s="4"/>
      <c r="CX94" s="4"/>
      <c r="DB94" s="2"/>
      <c r="DC94" s="2"/>
      <c r="DD94" s="3"/>
      <c r="DE94" s="2"/>
      <c r="DF94" s="2"/>
      <c r="DG94" s="3"/>
      <c r="DV94" s="2"/>
      <c r="DW94" s="2"/>
      <c r="EF94" s="4"/>
      <c r="EH94" s="4"/>
      <c r="ER94" s="2"/>
      <c r="ES94" s="2"/>
      <c r="EV94" s="3"/>
      <c r="EX94" s="4"/>
      <c r="EZ94" s="4"/>
      <c r="FQ94" s="4"/>
      <c r="FS94" s="4"/>
      <c r="GJ94" s="4"/>
      <c r="GL94" s="4"/>
      <c r="GR94" s="2"/>
      <c r="GU94" s="3"/>
      <c r="GV94" s="2"/>
      <c r="GX94" s="3"/>
      <c r="HB94" s="3"/>
      <c r="HN94" s="3"/>
      <c r="HP94" s="2"/>
      <c r="HS94" s="4"/>
      <c r="HU94" s="4"/>
      <c r="II94" s="4"/>
      <c r="IK94" s="4"/>
      <c r="IS94" s="2"/>
      <c r="IT94" s="2"/>
      <c r="IW94" s="4"/>
      <c r="IY94" s="4"/>
      <c r="JH94" s="2"/>
      <c r="JK94" s="4"/>
      <c r="JM94" s="4"/>
      <c r="JZ94" s="2"/>
      <c r="KF94" s="4"/>
      <c r="KJ94" s="4"/>
      <c r="KT94" s="2"/>
      <c r="KU94" s="2"/>
      <c r="KW94" s="2"/>
      <c r="LC94" s="2"/>
      <c r="LF94" s="2"/>
      <c r="LK94" s="2"/>
      <c r="LM94" s="3"/>
      <c r="LT94" s="4"/>
      <c r="LV94" s="4"/>
      <c r="NB94" s="2"/>
      <c r="NC94" s="2"/>
      <c r="NG94" s="5"/>
      <c r="NJ94" s="2"/>
      <c r="NN94" s="2"/>
      <c r="NO94" s="2"/>
      <c r="NT94" s="4"/>
      <c r="NV94" s="4"/>
      <c r="OA94" s="2"/>
      <c r="OB94" s="2"/>
      <c r="OJ94" s="3"/>
      <c r="OR94" s="4"/>
      <c r="OT94" s="4"/>
      <c r="PD94" s="2"/>
      <c r="PH94" s="2"/>
      <c r="PP94" s="3"/>
      <c r="PQ94" s="2"/>
      <c r="PX94" s="2"/>
      <c r="PZ94" s="2"/>
      <c r="QF94" s="4"/>
      <c r="QH94" s="4"/>
      <c r="QZ94" s="2"/>
      <c r="RA94" s="2"/>
      <c r="RN94" s="4"/>
      <c r="RO94" s="4"/>
      <c r="RR94" s="2"/>
      <c r="RT94" s="2"/>
      <c r="RU94" s="2"/>
      <c r="SA94" s="4"/>
      <c r="SC94" s="4"/>
      <c r="SN94" s="2"/>
      <c r="SQ94" s="4"/>
      <c r="SS94" s="4"/>
      <c r="TG94" s="2"/>
      <c r="TH94" s="2"/>
      <c r="TI94" s="2"/>
      <c r="TU94" s="4"/>
      <c r="TW94" s="4"/>
    </row>
    <row r="95" spans="1:543">
      <c r="A95">
        <v>5483</v>
      </c>
      <c r="B95">
        <v>1626</v>
      </c>
      <c r="C95">
        <v>1103031521</v>
      </c>
      <c r="D95" t="s">
        <v>533</v>
      </c>
      <c r="E95" t="s">
        <v>501</v>
      </c>
      <c r="F95" t="s">
        <v>502</v>
      </c>
      <c r="G95" s="2">
        <v>37587</v>
      </c>
      <c r="H95" t="s">
        <v>30</v>
      </c>
      <c r="I95" t="s">
        <v>53</v>
      </c>
      <c r="J95" t="s">
        <v>32</v>
      </c>
      <c r="K95" t="s">
        <v>503</v>
      </c>
      <c r="L95" t="s">
        <v>95</v>
      </c>
      <c r="M95" s="2"/>
      <c r="N95" t="s">
        <v>504</v>
      </c>
      <c r="O95" s="2">
        <f>DATE(YEAR(G95) + P95, MONTH(G95), DAY(G95))</f>
        <v>62424</v>
      </c>
      <c r="P95">
        <v>68</v>
      </c>
      <c r="Q95" s="2">
        <v>32785</v>
      </c>
      <c r="R95" t="s">
        <v>36</v>
      </c>
      <c r="S95" t="s">
        <v>109</v>
      </c>
      <c r="T95" s="2">
        <v>39416</v>
      </c>
      <c r="U95" t="s">
        <v>103</v>
      </c>
      <c r="V95" t="s">
        <v>66</v>
      </c>
      <c r="W95">
        <v>11</v>
      </c>
      <c r="X95" s="1">
        <v>93598</v>
      </c>
      <c r="Y95" s="1">
        <v>18719.600000000002</v>
      </c>
      <c r="Z95" s="1">
        <v>74878.399999999994</v>
      </c>
      <c r="AA95" s="3">
        <v>907</v>
      </c>
      <c r="AB95" s="3"/>
      <c r="AK95" s="3"/>
      <c r="AM95" s="4"/>
      <c r="BA95" s="2"/>
      <c r="BB95" s="2"/>
      <c r="BD95" s="4"/>
      <c r="BF95" s="4"/>
      <c r="BM95" s="2"/>
      <c r="BO95" s="4"/>
      <c r="BQ95" s="4"/>
      <c r="CI95" s="2"/>
      <c r="CJ95" s="2"/>
      <c r="CN95" s="2"/>
      <c r="CQ95" s="2"/>
      <c r="CV95" s="4"/>
      <c r="CX95" s="4"/>
      <c r="DC95" s="2"/>
      <c r="DE95" s="2"/>
      <c r="DF95" s="2"/>
      <c r="DV95" s="2"/>
      <c r="DW95" s="2"/>
      <c r="EF95" s="4"/>
      <c r="EH95" s="4"/>
      <c r="ER95" s="2"/>
      <c r="ES95" s="2"/>
      <c r="EZ95" s="4"/>
      <c r="FQ95" s="4"/>
      <c r="FS95" s="4"/>
      <c r="GE95" s="2"/>
      <c r="GJ95" s="4"/>
      <c r="GL95" s="4"/>
      <c r="GR95" s="2"/>
      <c r="GS95" s="3"/>
      <c r="GT95" s="3"/>
      <c r="GU95" s="3"/>
      <c r="GV95" s="2"/>
      <c r="HB95" s="3"/>
      <c r="HP95" s="2"/>
      <c r="HS95" s="4"/>
      <c r="HU95" s="4"/>
      <c r="II95" s="4"/>
      <c r="IK95" s="4"/>
      <c r="IS95" s="2"/>
      <c r="IT95" s="2"/>
      <c r="IV95" s="2"/>
      <c r="IW95" s="4"/>
      <c r="IY95" s="4"/>
      <c r="JH95" s="2"/>
      <c r="JK95" s="4"/>
      <c r="JM95" s="4"/>
      <c r="KA95" s="3"/>
      <c r="KD95" s="4"/>
      <c r="KF95" s="4"/>
      <c r="KI95" s="3"/>
      <c r="KT95" s="2"/>
      <c r="KU95" s="2"/>
      <c r="KW95" s="2"/>
      <c r="LC95" s="2"/>
      <c r="LF95" s="2"/>
      <c r="LK95" s="2"/>
      <c r="LM95" s="3"/>
      <c r="LT95" s="4"/>
      <c r="MN95" s="5"/>
      <c r="NB95" s="2"/>
      <c r="NC95" s="2"/>
      <c r="NJ95" s="2"/>
      <c r="NM95" s="3"/>
      <c r="NN95" s="2"/>
      <c r="NO95" s="2"/>
      <c r="NT95" s="4"/>
      <c r="NV95" s="4"/>
      <c r="OA95" s="2"/>
      <c r="OB95" s="2"/>
      <c r="OR95" s="4"/>
      <c r="OT95" s="4"/>
      <c r="PD95" s="2"/>
      <c r="PH95" s="2"/>
      <c r="PX95" s="2"/>
      <c r="QF95" s="4"/>
      <c r="QH95" s="4"/>
      <c r="QX95" s="3"/>
      <c r="QZ95" s="2"/>
      <c r="RA95" s="2"/>
      <c r="RN95" s="4"/>
      <c r="RR95" s="2"/>
      <c r="RT95" s="2"/>
      <c r="RU95" s="2"/>
      <c r="SC95" s="4"/>
      <c r="SN95" s="2"/>
      <c r="SQ95" s="4"/>
      <c r="SS95" s="4"/>
      <c r="TG95" s="2"/>
      <c r="TH95" s="2"/>
      <c r="TI95" s="2"/>
      <c r="TU95" s="4"/>
      <c r="TW95" s="4"/>
    </row>
    <row r="96" spans="1:543">
      <c r="A96">
        <v>3607</v>
      </c>
      <c r="B96">
        <v>2902</v>
      </c>
      <c r="C96">
        <v>8282072874</v>
      </c>
      <c r="D96" t="s">
        <v>110</v>
      </c>
      <c r="E96" t="s">
        <v>505</v>
      </c>
      <c r="F96" t="s">
        <v>506</v>
      </c>
      <c r="G96" s="2">
        <v>37560</v>
      </c>
      <c r="H96" t="s">
        <v>30</v>
      </c>
      <c r="I96" t="s">
        <v>260</v>
      </c>
      <c r="J96" t="s">
        <v>32</v>
      </c>
      <c r="K96" t="s">
        <v>507</v>
      </c>
      <c r="L96" t="s">
        <v>95</v>
      </c>
      <c r="M96" s="2"/>
      <c r="N96" t="s">
        <v>508</v>
      </c>
      <c r="O96" s="2">
        <f>DATE(YEAR(G96) + P96, MONTH(G96), DAY(G96))</f>
        <v>63128</v>
      </c>
      <c r="P96">
        <v>70</v>
      </c>
      <c r="Q96" s="2">
        <v>23290</v>
      </c>
      <c r="R96" t="s">
        <v>47</v>
      </c>
      <c r="S96" t="s">
        <v>181</v>
      </c>
      <c r="T96" s="2">
        <v>42520</v>
      </c>
      <c r="U96" t="s">
        <v>133</v>
      </c>
      <c r="V96" t="s">
        <v>39</v>
      </c>
      <c r="W96">
        <v>7</v>
      </c>
      <c r="X96" s="1">
        <v>21227</v>
      </c>
      <c r="Y96" s="1">
        <v>4245.4000000000005</v>
      </c>
      <c r="Z96" s="1">
        <v>16981.599999999999</v>
      </c>
      <c r="AA96" s="3">
        <v>459</v>
      </c>
      <c r="AK96" s="3"/>
      <c r="AM96" s="4"/>
      <c r="AO96" s="4"/>
      <c r="BA96" s="2"/>
      <c r="BB96" s="2"/>
      <c r="BD96" s="4"/>
      <c r="BF96" s="4"/>
      <c r="BM96" s="2"/>
      <c r="BO96" s="4"/>
      <c r="BQ96" s="4"/>
      <c r="CG96" s="3"/>
      <c r="CI96" s="2"/>
      <c r="CK96" s="3"/>
      <c r="CN96" s="2"/>
      <c r="CQ96" s="2"/>
      <c r="CV96" s="4"/>
      <c r="CX96" s="4"/>
      <c r="DB96" s="2"/>
      <c r="DC96" s="2"/>
      <c r="DE96" s="2"/>
      <c r="DF96" s="2"/>
      <c r="DV96" s="2"/>
      <c r="DW96" s="2"/>
      <c r="EH96" s="4"/>
      <c r="ES96" s="2"/>
      <c r="EX96" s="4"/>
      <c r="EZ96" s="4"/>
      <c r="FQ96" s="4"/>
      <c r="FS96" s="4"/>
      <c r="GE96" s="2"/>
      <c r="GG96" s="3"/>
      <c r="GJ96" s="4"/>
      <c r="GL96" s="4"/>
      <c r="GR96" s="2"/>
      <c r="GT96" s="3"/>
      <c r="GV96" s="2"/>
      <c r="GY96" s="3"/>
      <c r="HB96" s="3"/>
      <c r="HP96" s="2"/>
      <c r="HS96" s="4"/>
      <c r="HU96" s="4"/>
      <c r="IK96" s="4"/>
      <c r="IS96" s="2"/>
      <c r="IT96" s="2"/>
      <c r="IW96" s="4"/>
      <c r="IY96" s="4"/>
      <c r="JH96" s="2"/>
      <c r="JK96" s="4"/>
      <c r="JM96" s="4"/>
      <c r="KD96" s="4"/>
      <c r="KF96" s="4"/>
      <c r="KJ96" s="4"/>
      <c r="KT96" s="2"/>
      <c r="KU96" s="2"/>
      <c r="KW96" s="2"/>
      <c r="LC96" s="2"/>
      <c r="LF96" s="2"/>
      <c r="LK96" s="2"/>
      <c r="LT96" s="4"/>
      <c r="LV96" s="4"/>
      <c r="NB96" s="2"/>
      <c r="NC96" s="2"/>
      <c r="NJ96" s="2"/>
      <c r="NN96" s="2"/>
      <c r="NO96" s="2"/>
      <c r="NT96" s="4"/>
      <c r="NV96" s="4"/>
      <c r="OA96" s="2"/>
      <c r="OB96" s="2"/>
      <c r="OK96" s="3"/>
      <c r="ON96" s="2"/>
      <c r="OR96" s="4"/>
      <c r="OT96" s="4"/>
      <c r="PD96" s="2"/>
      <c r="PH96" s="2"/>
      <c r="PI96" s="3"/>
      <c r="PQ96" s="2"/>
      <c r="PX96" s="2"/>
      <c r="PZ96" s="2"/>
      <c r="QF96" s="4"/>
      <c r="QH96" s="4"/>
      <c r="QZ96" s="2"/>
      <c r="RO96" s="4"/>
      <c r="RR96" s="2"/>
      <c r="RT96" s="2"/>
      <c r="SA96" s="4"/>
      <c r="SC96" s="4"/>
      <c r="SN96" s="2"/>
      <c r="SQ96" s="4"/>
      <c r="SS96" s="4"/>
      <c r="TG96" s="2"/>
      <c r="TH96" s="2"/>
      <c r="TI96" s="2"/>
      <c r="TU96" s="4"/>
      <c r="TW96" s="4"/>
    </row>
    <row r="97" spans="1:543">
      <c r="A97">
        <v>2611</v>
      </c>
      <c r="B97">
        <v>2143</v>
      </c>
      <c r="C97">
        <v>5773862476</v>
      </c>
      <c r="D97" t="s">
        <v>287</v>
      </c>
      <c r="E97" t="s">
        <v>509</v>
      </c>
      <c r="F97" t="s">
        <v>510</v>
      </c>
      <c r="G97" s="2">
        <v>40274</v>
      </c>
      <c r="H97" t="s">
        <v>43</v>
      </c>
      <c r="I97" t="s">
        <v>60</v>
      </c>
      <c r="J97" t="s">
        <v>32</v>
      </c>
      <c r="K97" t="s">
        <v>511</v>
      </c>
      <c r="L97" t="s">
        <v>77</v>
      </c>
      <c r="M97" s="2"/>
      <c r="N97" t="s">
        <v>512</v>
      </c>
      <c r="O97" s="2">
        <f>DATE(YEAR(G97) + P97, MONTH(G97), DAY(G97))</f>
        <v>64746</v>
      </c>
      <c r="P97">
        <v>67</v>
      </c>
      <c r="Q97" s="2"/>
      <c r="R97" t="s">
        <v>47</v>
      </c>
      <c r="S97" t="s">
        <v>102</v>
      </c>
      <c r="T97" s="2">
        <v>36677</v>
      </c>
      <c r="U97" t="s">
        <v>65</v>
      </c>
      <c r="V97" t="s">
        <v>56</v>
      </c>
      <c r="W97">
        <v>22</v>
      </c>
      <c r="X97" s="1">
        <v>50799</v>
      </c>
      <c r="Y97" s="1">
        <v>10159.800000000001</v>
      </c>
      <c r="Z97" s="1">
        <v>40639.199999999997</v>
      </c>
      <c r="AA97" s="3">
        <v>380</v>
      </c>
      <c r="AB97" s="3"/>
      <c r="AK97" s="3"/>
      <c r="AM97" s="4"/>
      <c r="AO97" s="4"/>
      <c r="BA97" s="2"/>
      <c r="BB97" s="2"/>
      <c r="BD97" s="4"/>
      <c r="BF97" s="4"/>
      <c r="BM97" s="2"/>
      <c r="BO97" s="4"/>
      <c r="BQ97" s="4"/>
      <c r="CI97" s="2"/>
      <c r="CJ97" s="2"/>
      <c r="CK97" s="3"/>
      <c r="CN97" s="2"/>
      <c r="CQ97" s="2"/>
      <c r="CV97" s="4"/>
      <c r="CX97" s="4"/>
      <c r="DB97" s="2"/>
      <c r="DC97" s="2"/>
      <c r="DE97" s="2"/>
      <c r="DV97" s="2"/>
      <c r="EF97" s="4"/>
      <c r="EH97" s="4"/>
      <c r="ER97" s="2"/>
      <c r="ES97" s="2"/>
      <c r="EX97" s="4"/>
      <c r="EZ97" s="4"/>
      <c r="FQ97" s="4"/>
      <c r="GE97" s="2"/>
      <c r="GJ97" s="4"/>
      <c r="GL97" s="4"/>
      <c r="GR97" s="2"/>
      <c r="GS97" s="3"/>
      <c r="GU97" s="3"/>
      <c r="GV97" s="2"/>
      <c r="GX97" s="3"/>
      <c r="GY97" s="3"/>
      <c r="HB97" s="3"/>
      <c r="HP97" s="2"/>
      <c r="II97" s="4"/>
      <c r="IK97" s="4"/>
      <c r="IS97" s="2"/>
      <c r="IT97" s="2"/>
      <c r="IW97" s="4"/>
      <c r="IY97" s="4"/>
      <c r="JH97" s="2"/>
      <c r="JK97" s="4"/>
      <c r="JM97" s="4"/>
      <c r="JZ97" s="2"/>
      <c r="KC97" s="3"/>
      <c r="KD97" s="4"/>
      <c r="KF97" s="4"/>
      <c r="KJ97" s="4"/>
      <c r="KT97" s="2"/>
      <c r="KU97" s="2"/>
      <c r="KW97" s="2"/>
      <c r="LC97" s="2"/>
      <c r="LF97" s="2"/>
      <c r="LK97" s="2"/>
      <c r="LT97" s="4"/>
      <c r="LV97" s="4"/>
      <c r="NB97" s="2"/>
      <c r="NC97" s="2"/>
      <c r="NN97" s="2"/>
      <c r="NO97" s="2"/>
      <c r="NT97" s="4"/>
      <c r="NV97" s="4"/>
      <c r="OA97" s="2"/>
      <c r="OB97" s="2"/>
      <c r="ON97" s="2"/>
      <c r="OT97" s="4"/>
      <c r="PD97" s="2"/>
      <c r="PH97" s="2"/>
      <c r="PN97" s="3"/>
      <c r="PQ97" s="2"/>
      <c r="PZ97" s="2"/>
      <c r="QF97" s="4"/>
      <c r="QH97" s="4"/>
      <c r="QZ97" s="2"/>
      <c r="RA97" s="2"/>
      <c r="RR97" s="2"/>
      <c r="RT97" s="2"/>
      <c r="RU97" s="2"/>
      <c r="SA97" s="4"/>
      <c r="SC97" s="4"/>
      <c r="SN97" s="2"/>
      <c r="SQ97" s="4"/>
      <c r="SS97" s="4"/>
      <c r="TG97" s="2"/>
      <c r="TH97" s="2"/>
      <c r="TI97" s="2"/>
      <c r="TU97" s="4"/>
      <c r="TW97" s="4"/>
    </row>
    <row r="98" spans="1:543">
      <c r="A98">
        <v>5398</v>
      </c>
      <c r="B98">
        <v>5202</v>
      </c>
      <c r="C98">
        <v>6802724370</v>
      </c>
      <c r="D98" t="s">
        <v>166</v>
      </c>
      <c r="E98" t="s">
        <v>513</v>
      </c>
      <c r="F98" t="s">
        <v>514</v>
      </c>
      <c r="G98" s="2">
        <v>39744</v>
      </c>
      <c r="H98" t="s">
        <v>30</v>
      </c>
      <c r="I98" t="s">
        <v>53</v>
      </c>
      <c r="J98" t="s">
        <v>32</v>
      </c>
      <c r="K98" t="s">
        <v>515</v>
      </c>
      <c r="L98" t="s">
        <v>77</v>
      </c>
      <c r="M98" s="2"/>
      <c r="N98" t="s">
        <v>516</v>
      </c>
      <c r="O98" s="2">
        <f>DATE(YEAR(G98) + P98, MONTH(G98), DAY(G98))</f>
        <v>63850</v>
      </c>
      <c r="P98">
        <v>66</v>
      </c>
      <c r="Q98" s="2"/>
      <c r="R98" t="s">
        <v>47</v>
      </c>
      <c r="S98" t="s">
        <v>37</v>
      </c>
      <c r="T98" s="2">
        <v>28474</v>
      </c>
      <c r="U98" t="s">
        <v>65</v>
      </c>
      <c r="V98" t="s">
        <v>39</v>
      </c>
      <c r="W98">
        <v>23</v>
      </c>
      <c r="X98" s="1">
        <v>19672</v>
      </c>
      <c r="Y98" s="1">
        <v>3934.4</v>
      </c>
      <c r="Z98" s="1">
        <v>15737.6</v>
      </c>
      <c r="AA98" s="3">
        <v>586</v>
      </c>
      <c r="AJ98" s="3"/>
      <c r="AK98" s="3"/>
      <c r="AM98" s="4"/>
      <c r="AO98" s="4"/>
      <c r="BA98" s="2"/>
      <c r="BB98" s="2"/>
      <c r="BD98" s="4"/>
      <c r="BF98" s="4"/>
      <c r="BM98" s="2"/>
      <c r="BQ98" s="4"/>
      <c r="CI98" s="2"/>
      <c r="CJ98" s="2"/>
      <c r="CN98" s="2"/>
      <c r="CQ98" s="2"/>
      <c r="CV98" s="4"/>
      <c r="CX98" s="4"/>
      <c r="DA98" s="3"/>
      <c r="DB98" s="2"/>
      <c r="DC98" s="2"/>
      <c r="DE98" s="2"/>
      <c r="DF98" s="2"/>
      <c r="DV98" s="2"/>
      <c r="DW98" s="2"/>
      <c r="EF98" s="4"/>
      <c r="EH98" s="4"/>
      <c r="ES98" s="2"/>
      <c r="EX98" s="4"/>
      <c r="EZ98" s="4"/>
      <c r="FQ98" s="4"/>
      <c r="FS98" s="4"/>
      <c r="GE98" s="2"/>
      <c r="GJ98" s="4"/>
      <c r="GL98" s="4"/>
      <c r="GR98" s="2"/>
      <c r="GS98" s="3"/>
      <c r="GT98" s="3"/>
      <c r="GV98" s="2"/>
      <c r="GX98" s="3"/>
      <c r="HB98" s="3"/>
      <c r="HP98" s="2"/>
      <c r="HS98" s="4"/>
      <c r="HU98" s="4"/>
      <c r="II98" s="4"/>
      <c r="IK98" s="4"/>
      <c r="IS98" s="2"/>
      <c r="IT98" s="2"/>
      <c r="IV98" s="2"/>
      <c r="IW98" s="4"/>
      <c r="IY98" s="4"/>
      <c r="JH98" s="2"/>
      <c r="JK98" s="4"/>
      <c r="JM98" s="4"/>
      <c r="JZ98" s="2"/>
      <c r="KD98" s="4"/>
      <c r="KF98" s="4"/>
      <c r="KJ98" s="4"/>
      <c r="KT98" s="2"/>
      <c r="KU98" s="2"/>
      <c r="KW98" s="2"/>
      <c r="LC98" s="2"/>
      <c r="LF98" s="2"/>
      <c r="LK98" s="2"/>
      <c r="LT98" s="4"/>
      <c r="LV98" s="4"/>
      <c r="NB98" s="2"/>
      <c r="NC98" s="2"/>
      <c r="NG98" s="5"/>
      <c r="NJ98" s="2"/>
      <c r="NN98" s="2"/>
      <c r="NO98" s="2"/>
      <c r="NT98" s="4"/>
      <c r="NV98" s="4"/>
      <c r="OA98" s="2"/>
      <c r="OB98" s="2"/>
      <c r="ON98" s="2"/>
      <c r="OR98" s="4"/>
      <c r="OT98" s="4"/>
      <c r="PD98" s="2"/>
      <c r="PH98" s="2"/>
      <c r="PP98" s="3"/>
      <c r="PQ98" s="2"/>
      <c r="PX98" s="2"/>
      <c r="PZ98" s="2"/>
      <c r="QF98" s="4"/>
      <c r="QH98" s="4"/>
      <c r="QZ98" s="2"/>
      <c r="RN98" s="4"/>
      <c r="RO98" s="4"/>
      <c r="RR98" s="2"/>
      <c r="RT98" s="2"/>
      <c r="RU98" s="2"/>
      <c r="SA98" s="4"/>
      <c r="SC98" s="4"/>
      <c r="SN98" s="2"/>
      <c r="SQ98" s="4"/>
      <c r="SS98" s="4"/>
      <c r="TG98" s="2"/>
      <c r="TH98" s="2"/>
      <c r="TI98" s="2"/>
      <c r="TU98" s="4"/>
      <c r="TW98" s="4"/>
    </row>
    <row r="99" spans="1:543">
      <c r="A99">
        <v>8864</v>
      </c>
      <c r="B99">
        <v>8925</v>
      </c>
      <c r="C99">
        <v>5795448888</v>
      </c>
      <c r="D99" t="s">
        <v>267</v>
      </c>
      <c r="E99" t="s">
        <v>517</v>
      </c>
      <c r="F99" t="s">
        <v>518</v>
      </c>
      <c r="G99" s="2">
        <v>40245</v>
      </c>
      <c r="H99" t="s">
        <v>43</v>
      </c>
      <c r="I99" t="s">
        <v>236</v>
      </c>
      <c r="J99" t="s">
        <v>32</v>
      </c>
      <c r="K99" t="s">
        <v>519</v>
      </c>
      <c r="L99" t="s">
        <v>77</v>
      </c>
      <c r="M99" s="2"/>
      <c r="N99" t="s">
        <v>520</v>
      </c>
      <c r="O99" s="2">
        <f>DATE(YEAR(G99) + P99, MONTH(G99), DAY(G99))</f>
        <v>63256</v>
      </c>
      <c r="P99">
        <v>63</v>
      </c>
      <c r="Q99" s="2"/>
      <c r="R99" t="s">
        <v>47</v>
      </c>
      <c r="S99" t="s">
        <v>64</v>
      </c>
      <c r="T99" s="2">
        <v>29187</v>
      </c>
      <c r="U99" t="s">
        <v>133</v>
      </c>
      <c r="V99" t="s">
        <v>39</v>
      </c>
      <c r="W99">
        <v>28</v>
      </c>
      <c r="X99" s="1">
        <v>68640</v>
      </c>
      <c r="Y99" s="1">
        <v>13728</v>
      </c>
      <c r="Z99" s="1">
        <v>54912</v>
      </c>
      <c r="AA99" s="3">
        <v>89</v>
      </c>
      <c r="AK99" s="3"/>
      <c r="AM99" s="4"/>
      <c r="AO99" s="4"/>
      <c r="BA99" s="2"/>
      <c r="BB99" s="2"/>
      <c r="BD99" s="4"/>
      <c r="BF99" s="4"/>
      <c r="BM99" s="2"/>
      <c r="BQ99" s="4"/>
      <c r="CI99" s="2"/>
      <c r="CJ99" s="2"/>
      <c r="CN99" s="2"/>
      <c r="CQ99" s="2"/>
      <c r="CV99" s="4"/>
      <c r="CX99" s="4"/>
      <c r="DC99" s="2"/>
      <c r="DE99" s="2"/>
      <c r="DF99" s="2"/>
      <c r="DV99" s="2"/>
      <c r="DW99" s="2"/>
      <c r="EF99" s="4"/>
      <c r="EH99" s="4"/>
      <c r="ER99" s="2"/>
      <c r="ES99" s="2"/>
      <c r="EZ99" s="4"/>
      <c r="FS99" s="4"/>
      <c r="GE99" s="2"/>
      <c r="GJ99" s="4"/>
      <c r="GL99" s="4"/>
      <c r="GR99" s="2"/>
      <c r="GS99" s="3"/>
      <c r="GT99" s="3"/>
      <c r="GU99" s="3"/>
      <c r="GV99" s="2"/>
      <c r="GW99" s="3"/>
      <c r="GX99" s="3"/>
      <c r="GY99" s="3"/>
      <c r="HB99" s="3"/>
      <c r="HP99" s="2"/>
      <c r="HS99" s="4"/>
      <c r="HU99" s="4"/>
      <c r="IK99" s="4"/>
      <c r="IS99" s="2"/>
      <c r="IT99" s="2"/>
      <c r="IV99" s="2"/>
      <c r="IW99" s="4"/>
      <c r="IY99" s="4"/>
      <c r="JH99" s="2"/>
      <c r="JK99" s="4"/>
      <c r="JM99" s="4"/>
      <c r="JZ99" s="2"/>
      <c r="KD99" s="4"/>
      <c r="KF99" s="4"/>
      <c r="KT99" s="2"/>
      <c r="KU99" s="2"/>
      <c r="KW99" s="2"/>
      <c r="LC99" s="2"/>
      <c r="LF99" s="2"/>
      <c r="LK99" s="2"/>
      <c r="LT99" s="4"/>
      <c r="LV99" s="4"/>
      <c r="NB99" s="2"/>
      <c r="NC99" s="2"/>
      <c r="NG99" s="5"/>
      <c r="NJ99" s="2"/>
      <c r="NN99" s="2"/>
      <c r="NO99" s="2"/>
      <c r="NT99" s="4"/>
      <c r="NV99" s="4"/>
      <c r="OA99" s="2"/>
      <c r="OB99" s="2"/>
      <c r="ON99" s="2"/>
      <c r="OR99" s="4"/>
      <c r="OT99" s="4"/>
      <c r="PD99" s="2"/>
      <c r="PH99" s="2"/>
      <c r="PQ99" s="2"/>
      <c r="PX99" s="2"/>
      <c r="PZ99" s="2"/>
      <c r="QH99" s="4"/>
      <c r="QZ99" s="2"/>
      <c r="RA99" s="2"/>
      <c r="RN99" s="4"/>
      <c r="RO99" s="4"/>
      <c r="RR99" s="2"/>
      <c r="RT99" s="2"/>
      <c r="RU99" s="2"/>
      <c r="SA99" s="4"/>
      <c r="SC99" s="4"/>
      <c r="SN99" s="2"/>
      <c r="SQ99" s="4"/>
      <c r="SS99" s="4"/>
      <c r="TG99" s="2"/>
      <c r="TH99" s="2"/>
      <c r="TI99" s="2"/>
      <c r="TU99" s="4"/>
    </row>
    <row r="100" spans="1:543">
      <c r="A100">
        <v>6542</v>
      </c>
      <c r="B100">
        <v>5392</v>
      </c>
      <c r="C100">
        <v>1448378922</v>
      </c>
      <c r="D100" t="s">
        <v>27</v>
      </c>
      <c r="E100" t="s">
        <v>521</v>
      </c>
      <c r="F100" t="s">
        <v>522</v>
      </c>
      <c r="G100" s="2">
        <v>24059</v>
      </c>
      <c r="H100" t="s">
        <v>43</v>
      </c>
      <c r="I100" t="s">
        <v>523</v>
      </c>
      <c r="J100" t="s">
        <v>32</v>
      </c>
      <c r="K100" t="s">
        <v>524</v>
      </c>
      <c r="L100" t="s">
        <v>95</v>
      </c>
      <c r="M100" s="2"/>
      <c r="N100" t="s">
        <v>525</v>
      </c>
      <c r="O100" s="2">
        <f>DATE(YEAR(G100) + P100, MONTH(G100), DAY(G100))</f>
        <v>47800</v>
      </c>
      <c r="P100">
        <v>65</v>
      </c>
      <c r="Q100" s="2"/>
      <c r="R100" t="s">
        <v>47</v>
      </c>
      <c r="S100" t="s">
        <v>48</v>
      </c>
      <c r="T100" s="2">
        <v>26237</v>
      </c>
      <c r="U100" t="s">
        <v>49</v>
      </c>
      <c r="V100" t="s">
        <v>39</v>
      </c>
      <c r="W100">
        <v>21</v>
      </c>
      <c r="X100" s="1">
        <v>35002</v>
      </c>
      <c r="Y100" s="1">
        <v>7000.4000000000005</v>
      </c>
      <c r="Z100" s="1">
        <v>28001.599999999999</v>
      </c>
      <c r="AA100" s="3">
        <v>177</v>
      </c>
      <c r="AK100" s="3"/>
      <c r="AM100" s="4"/>
      <c r="AO100" s="4"/>
      <c r="BA100" s="2"/>
      <c r="BB100" s="2"/>
      <c r="BD100" s="4"/>
      <c r="BF100" s="4"/>
      <c r="BM100" s="2"/>
      <c r="BO100" s="4"/>
      <c r="BQ100" s="4"/>
      <c r="CH100" s="3"/>
      <c r="CI100" s="2"/>
      <c r="CJ100" s="2"/>
      <c r="CN100" s="2"/>
      <c r="CV100" s="4"/>
      <c r="DB100" s="2"/>
      <c r="DC100" s="2"/>
      <c r="DE100" s="2"/>
      <c r="DF100" s="2"/>
      <c r="DV100" s="2"/>
      <c r="DW100" s="2"/>
      <c r="EF100" s="4"/>
      <c r="EH100" s="4"/>
      <c r="ER100" s="2"/>
      <c r="ES100" s="2"/>
      <c r="EX100" s="4"/>
      <c r="EZ100" s="4"/>
      <c r="FQ100" s="4"/>
      <c r="FS100" s="4"/>
      <c r="GJ100" s="4"/>
      <c r="GL100" s="4"/>
      <c r="GR100" s="2"/>
      <c r="GU100" s="3"/>
      <c r="GV100" s="2"/>
      <c r="GX100" s="3"/>
      <c r="HB100" s="3"/>
      <c r="HP100" s="2"/>
      <c r="HS100" s="4"/>
      <c r="HU100" s="4"/>
      <c r="II100" s="4"/>
      <c r="IK100" s="4"/>
      <c r="IS100" s="2"/>
      <c r="IT100" s="2"/>
      <c r="IV100" s="2"/>
      <c r="IW100" s="4"/>
      <c r="IY100" s="4"/>
      <c r="JH100" s="2"/>
      <c r="JK100" s="4"/>
      <c r="JM100" s="4"/>
      <c r="KF100" s="4"/>
      <c r="KJ100" s="4"/>
      <c r="KT100" s="2"/>
      <c r="KU100" s="2"/>
      <c r="KW100" s="2"/>
      <c r="LC100" s="2"/>
      <c r="LF100" s="2"/>
      <c r="LK100" s="2"/>
      <c r="LT100" s="4"/>
      <c r="LV100" s="4"/>
      <c r="ME100" s="3"/>
      <c r="NC100" s="2"/>
      <c r="NJ100" s="2"/>
      <c r="NN100" s="2"/>
      <c r="NO100" s="2"/>
      <c r="NT100" s="4"/>
      <c r="NV100" s="4"/>
      <c r="OA100" s="2"/>
      <c r="OB100" s="2"/>
      <c r="OJ100" s="3"/>
      <c r="ON100" s="2"/>
      <c r="OR100" s="4"/>
      <c r="PD100" s="2"/>
      <c r="PH100" s="2"/>
      <c r="PK100" s="3"/>
      <c r="PN100" s="3"/>
      <c r="PQ100" s="2"/>
      <c r="PX100" s="2"/>
      <c r="PZ100" s="2"/>
      <c r="QF100" s="4"/>
      <c r="QH100" s="4"/>
      <c r="QZ100" s="2"/>
      <c r="RA100" s="2"/>
      <c r="RN100" s="4"/>
      <c r="RO100" s="4"/>
      <c r="RT100" s="2"/>
      <c r="RU100" s="2"/>
      <c r="SA100" s="4"/>
      <c r="SC100" s="4"/>
      <c r="SM100" s="3"/>
      <c r="SN100" s="2"/>
      <c r="SQ100" s="4"/>
      <c r="SS100" s="4"/>
      <c r="TG100" s="2"/>
      <c r="TH100" s="2"/>
      <c r="TI100" s="2"/>
      <c r="TU100" s="4"/>
      <c r="TW100" s="4"/>
    </row>
    <row r="101" spans="1:543">
      <c r="A101">
        <v>4639</v>
      </c>
      <c r="B101">
        <v>4628</v>
      </c>
      <c r="C101">
        <v>8680346011</v>
      </c>
      <c r="D101" t="s">
        <v>267</v>
      </c>
      <c r="E101" t="s">
        <v>526</v>
      </c>
      <c r="F101" t="s">
        <v>527</v>
      </c>
      <c r="G101" s="2">
        <v>36737</v>
      </c>
      <c r="H101" t="s">
        <v>30</v>
      </c>
      <c r="I101" t="s">
        <v>70</v>
      </c>
      <c r="J101" t="s">
        <v>61</v>
      </c>
      <c r="K101" t="s">
        <v>528</v>
      </c>
      <c r="L101" t="s">
        <v>95</v>
      </c>
      <c r="M101" s="2">
        <v>31686</v>
      </c>
      <c r="N101" t="s">
        <v>529</v>
      </c>
      <c r="O101" s="2">
        <f>DATE(YEAR(G101) + P101, MONTH(G101), DAY(G101))</f>
        <v>61574</v>
      </c>
      <c r="P101">
        <v>68</v>
      </c>
      <c r="Q101" s="2"/>
      <c r="R101" t="s">
        <v>47</v>
      </c>
      <c r="S101" t="s">
        <v>109</v>
      </c>
      <c r="T101" s="2">
        <v>23043</v>
      </c>
      <c r="U101" t="s">
        <v>65</v>
      </c>
      <c r="V101" t="s">
        <v>66</v>
      </c>
      <c r="W101">
        <v>22</v>
      </c>
      <c r="X101" s="1">
        <v>9790</v>
      </c>
      <c r="Y101" s="1">
        <v>1958</v>
      </c>
      <c r="Z101" s="1">
        <v>7832</v>
      </c>
      <c r="AA101" s="3">
        <v>32</v>
      </c>
      <c r="AK101" s="3"/>
      <c r="AM101" s="4"/>
      <c r="AO101" s="4"/>
      <c r="BA101" s="2"/>
      <c r="BB101" s="2"/>
      <c r="BD101" s="4"/>
      <c r="BF101" s="4"/>
      <c r="BM101" s="2"/>
      <c r="BO101" s="4"/>
      <c r="BQ101" s="4"/>
      <c r="CI101" s="2"/>
      <c r="CJ101" s="2"/>
      <c r="CN101" s="2"/>
      <c r="CP101" s="3"/>
      <c r="CQ101" s="2"/>
      <c r="CV101" s="4"/>
      <c r="CX101" s="4"/>
      <c r="DB101" s="2"/>
      <c r="DC101" s="2"/>
      <c r="DF101" s="2"/>
      <c r="DG101" s="3"/>
      <c r="DV101" s="2"/>
      <c r="DW101" s="2"/>
      <c r="EF101" s="4"/>
      <c r="EH101" s="4"/>
      <c r="ES101" s="2"/>
      <c r="EX101" s="4"/>
      <c r="EZ101" s="4"/>
      <c r="FQ101" s="4"/>
      <c r="FS101" s="4"/>
      <c r="GE101" s="2"/>
      <c r="GJ101" s="4"/>
      <c r="GL101" s="4"/>
      <c r="GR101" s="2"/>
      <c r="GS101" s="3"/>
      <c r="GT101" s="3"/>
      <c r="GV101" s="2"/>
      <c r="GY101" s="3"/>
      <c r="HB101" s="3"/>
      <c r="HP101" s="2"/>
      <c r="HS101" s="4"/>
      <c r="HU101" s="4"/>
      <c r="II101" s="4"/>
      <c r="IK101" s="4"/>
      <c r="IT101" s="2"/>
      <c r="IV101" s="2"/>
      <c r="IW101" s="4"/>
      <c r="IY101" s="4"/>
      <c r="JH101" s="2"/>
      <c r="JK101" s="4"/>
      <c r="JM101" s="4"/>
      <c r="JZ101" s="2"/>
      <c r="KD101" s="4"/>
      <c r="KF101" s="4"/>
      <c r="KJ101" s="4"/>
      <c r="KT101" s="2"/>
      <c r="KU101" s="2"/>
      <c r="KW101" s="2"/>
      <c r="LC101" s="2"/>
      <c r="LF101" s="2"/>
      <c r="LK101" s="2"/>
      <c r="LT101" s="4"/>
      <c r="LV101" s="4"/>
      <c r="NB101" s="2"/>
      <c r="NC101" s="2"/>
      <c r="NG101" s="5"/>
      <c r="NJ101" s="2"/>
      <c r="NN101" s="2"/>
      <c r="NO101" s="2"/>
      <c r="NT101" s="4"/>
      <c r="NV101" s="4"/>
      <c r="OA101" s="2"/>
      <c r="OB101" s="2"/>
      <c r="ON101" s="2"/>
      <c r="OR101" s="4"/>
      <c r="OT101" s="4"/>
      <c r="PD101" s="2"/>
      <c r="PH101" s="2"/>
      <c r="PN101" s="3"/>
      <c r="PQ101" s="2"/>
      <c r="PX101" s="2"/>
      <c r="PY101" s="3"/>
      <c r="PZ101" s="2"/>
      <c r="QF101" s="4"/>
      <c r="QH101" s="4"/>
      <c r="QZ101" s="2"/>
      <c r="RA101" s="2"/>
      <c r="RN101" s="4"/>
      <c r="RO101" s="4"/>
      <c r="RR101" s="2"/>
      <c r="RT101" s="2"/>
      <c r="RU101" s="2"/>
      <c r="SA101" s="4"/>
      <c r="SC101" s="4"/>
      <c r="SN101" s="2"/>
      <c r="SQ101" s="4"/>
      <c r="SS101" s="4"/>
      <c r="TG101" s="2"/>
      <c r="TH101" s="2"/>
      <c r="TI101" s="2"/>
      <c r="TU101" s="4"/>
      <c r="TW101" s="4"/>
    </row>
    <row r="102" spans="1:543" ht="15" customHeight="1"/>
    <row r="103" spans="1:543" ht="15" customHeight="1"/>
    <row r="104" spans="1:543" ht="15" customHeight="1"/>
    <row r="105" spans="1:543" ht="15" customHeight="1"/>
    <row r="106" spans="1:543" ht="15" customHeight="1"/>
    <row r="107" spans="1:543" ht="15" customHeight="1"/>
    <row r="108" spans="1:543" ht="15" customHeight="1"/>
    <row r="109" spans="1:543" ht="15" customHeight="1"/>
    <row r="110" spans="1:543" ht="15" customHeight="1"/>
    <row r="111" spans="1:543" ht="15" customHeight="1"/>
    <row r="112" spans="1:543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5849-5B98-44DB-8CB5-6F83E161084C}">
  <dimension ref="A1:TW426"/>
  <sheetViews>
    <sheetView tabSelected="1" zoomScaleNormal="100" workbookViewId="0">
      <selection activeCell="E27" sqref="E27"/>
    </sheetView>
  </sheetViews>
  <sheetFormatPr defaultRowHeight="15"/>
  <cols>
    <col min="2" max="2" width="19.140625" customWidth="1"/>
    <col min="3" max="3" width="20.5703125" customWidth="1"/>
    <col min="4" max="4" width="17" customWidth="1"/>
    <col min="5" max="5" width="19.140625" customWidth="1"/>
    <col min="6" max="6" width="19.7109375" customWidth="1"/>
    <col min="7" max="7" width="14.140625" customWidth="1"/>
    <col min="8" max="8" width="14.28515625" customWidth="1"/>
    <col min="9" max="9" width="16.28515625" customWidth="1"/>
    <col min="10" max="10" width="20.140625" customWidth="1"/>
    <col min="11" max="11" width="17.140625" customWidth="1"/>
    <col min="12" max="12" width="19.42578125" customWidth="1"/>
    <col min="13" max="13" width="18.5703125" customWidth="1"/>
    <col min="14" max="14" width="20" customWidth="1"/>
    <col min="15" max="15" width="20.42578125" customWidth="1"/>
    <col min="16" max="16" width="22.140625" customWidth="1"/>
    <col min="17" max="17" width="25.5703125" customWidth="1"/>
    <col min="18" max="18" width="23.5703125" customWidth="1"/>
    <col min="19" max="19" width="20" customWidth="1"/>
    <col min="20" max="20" width="22.42578125" customWidth="1"/>
    <col min="22" max="22" width="20.140625" bestFit="1" customWidth="1"/>
    <col min="23" max="23" width="21.7109375" customWidth="1"/>
    <col min="24" max="24" width="19.28515625" style="1" customWidth="1"/>
    <col min="25" max="25" width="17.5703125" style="1" customWidth="1"/>
    <col min="26" max="26" width="19.28515625" style="1" customWidth="1"/>
    <col min="27" max="27" width="17.28515625" customWidth="1"/>
    <col min="36" max="36" width="12.85546875" customWidth="1"/>
    <col min="37" max="37" width="15.85546875" customWidth="1"/>
    <col min="39" max="39" width="18.85546875" customWidth="1"/>
    <col min="41" max="41" width="25.5703125" customWidth="1"/>
    <col min="48" max="48" width="17.28515625" customWidth="1"/>
    <col min="53" max="53" width="20.7109375" bestFit="1" customWidth="1"/>
    <col min="54" max="54" width="20.28515625" bestFit="1" customWidth="1"/>
    <col min="55" max="55" width="16" bestFit="1" customWidth="1"/>
    <col min="56" max="56" width="16.5703125" bestFit="1" customWidth="1"/>
    <col min="57" max="57" width="16.28515625" bestFit="1" customWidth="1"/>
    <col min="58" max="58" width="16.85546875" bestFit="1" customWidth="1"/>
    <col min="69" max="69" width="21.28515625" customWidth="1"/>
    <col min="102" max="102" width="22.42578125" customWidth="1"/>
    <col min="145" max="145" width="20.85546875" bestFit="1" customWidth="1"/>
    <col min="146" max="146" width="22" bestFit="1" customWidth="1"/>
    <col min="148" max="148" width="23.85546875" bestFit="1" customWidth="1"/>
    <col min="149" max="149" width="22" bestFit="1" customWidth="1"/>
    <col min="150" max="150" width="18.5703125" bestFit="1" customWidth="1"/>
    <col min="151" max="151" width="23" bestFit="1" customWidth="1"/>
    <col min="210" max="210" width="18.140625" customWidth="1"/>
    <col min="286" max="286" width="12.85546875" customWidth="1"/>
    <col min="287" max="287" width="19.42578125" customWidth="1"/>
    <col min="290" max="290" width="17.140625" customWidth="1"/>
    <col min="292" max="292" width="18.5703125" customWidth="1"/>
    <col min="295" max="295" width="15.140625" customWidth="1"/>
    <col min="296" max="296" width="17.5703125" customWidth="1"/>
    <col min="306" max="306" width="17" customWidth="1"/>
  </cols>
  <sheetData>
    <row r="1" spans="1:5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t="s">
        <v>26</v>
      </c>
    </row>
    <row r="2" spans="1:543">
      <c r="A2">
        <v>8438</v>
      </c>
      <c r="B2">
        <v>7386</v>
      </c>
      <c r="C2">
        <v>3157669706</v>
      </c>
      <c r="D2" t="s">
        <v>27</v>
      </c>
      <c r="E2" t="s">
        <v>28</v>
      </c>
      <c r="F2" t="s">
        <v>29</v>
      </c>
      <c r="G2" s="2">
        <v>22154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2"/>
      <c r="N2" t="s">
        <v>35</v>
      </c>
      <c r="O2" s="2">
        <f>DATE(YEAR(G2) + P2, MONTH(G2), DAY(G2))</f>
        <v>45530</v>
      </c>
      <c r="P2">
        <v>64</v>
      </c>
      <c r="Q2" s="2">
        <v>36453</v>
      </c>
      <c r="R2" t="s">
        <v>36</v>
      </c>
      <c r="S2" t="s">
        <v>37</v>
      </c>
      <c r="T2" s="2">
        <v>45290</v>
      </c>
      <c r="U2" t="s">
        <v>38</v>
      </c>
      <c r="V2" t="s">
        <v>39</v>
      </c>
      <c r="W2">
        <v>13</v>
      </c>
      <c r="X2" s="1">
        <v>37700</v>
      </c>
      <c r="Y2" s="1">
        <f>X2*0.25</f>
        <v>9425</v>
      </c>
      <c r="Z2" s="1">
        <f>X2-Y2</f>
        <v>28275</v>
      </c>
      <c r="AA2" s="3">
        <v>517</v>
      </c>
      <c r="AK2" s="3"/>
      <c r="AM2" s="4"/>
      <c r="AO2" s="4"/>
      <c r="BA2" s="2"/>
      <c r="BB2" s="2"/>
      <c r="BD2" s="4"/>
      <c r="BF2" s="4"/>
      <c r="BM2" s="2"/>
      <c r="BO2" s="4"/>
      <c r="BQ2" s="4"/>
      <c r="CI2" s="2"/>
      <c r="CJ2" s="2"/>
      <c r="CN2" s="2"/>
      <c r="CQ2" s="2"/>
      <c r="CV2" s="4"/>
      <c r="CX2" s="4"/>
      <c r="DB2" s="2"/>
      <c r="DC2" s="2"/>
      <c r="DE2" s="2"/>
      <c r="DF2" s="2"/>
      <c r="DV2" s="2"/>
      <c r="DW2" s="2"/>
      <c r="EF2" s="4"/>
      <c r="EH2" s="4"/>
      <c r="ER2" s="2"/>
      <c r="ES2" s="2"/>
      <c r="EX2" s="4"/>
      <c r="EZ2" s="4"/>
      <c r="FQ2" s="4"/>
      <c r="FS2" s="4"/>
      <c r="GE2" s="2"/>
      <c r="GJ2" s="4"/>
      <c r="GL2" s="4"/>
      <c r="GR2" s="2"/>
      <c r="GT2" s="3"/>
      <c r="GV2" s="2"/>
      <c r="GW2" s="3"/>
      <c r="GX2" s="3"/>
      <c r="HB2" s="3"/>
      <c r="HP2" s="2"/>
      <c r="HS2" s="4"/>
      <c r="HU2" s="4"/>
      <c r="IF2" s="3"/>
      <c r="II2" s="4"/>
      <c r="IK2" s="4"/>
      <c r="IS2" s="2"/>
      <c r="IT2" s="2"/>
      <c r="IV2" s="2"/>
      <c r="IW2" s="4"/>
      <c r="JH2" s="2"/>
      <c r="JK2" s="4"/>
      <c r="JM2" s="4"/>
      <c r="JZ2" s="2"/>
      <c r="KD2" s="4"/>
      <c r="KF2" s="4"/>
      <c r="KJ2" s="4"/>
      <c r="KT2" s="2"/>
      <c r="KW2" s="2"/>
      <c r="LC2" s="2"/>
      <c r="LF2" s="2"/>
      <c r="LK2" s="2"/>
      <c r="LT2" s="4"/>
      <c r="LV2" s="4"/>
      <c r="LZ2" s="3"/>
      <c r="NB2" s="2"/>
      <c r="NC2" s="2"/>
      <c r="NH2" s="3"/>
      <c r="NJ2" s="2"/>
      <c r="NN2" s="2"/>
      <c r="NO2" s="2"/>
      <c r="NT2" s="4"/>
      <c r="OA2" s="2"/>
      <c r="OB2" s="2"/>
      <c r="ON2" s="2"/>
      <c r="OR2" s="4"/>
      <c r="OT2" s="4"/>
      <c r="PD2" s="2"/>
      <c r="PH2" s="2"/>
      <c r="PN2" s="3"/>
      <c r="PQ2" s="2"/>
      <c r="PX2" s="2"/>
      <c r="PZ2" s="2"/>
      <c r="QF2" s="4"/>
      <c r="QH2" s="4"/>
      <c r="QZ2" s="2"/>
      <c r="RA2" s="2"/>
      <c r="RN2" s="4"/>
      <c r="RO2" s="4"/>
      <c r="RR2" s="2"/>
      <c r="RT2" s="2"/>
      <c r="RU2" s="2"/>
      <c r="SA2" s="4"/>
      <c r="SC2" s="4"/>
      <c r="SN2" s="2"/>
      <c r="SQ2" s="4"/>
      <c r="SS2" s="4"/>
      <c r="TG2" s="2"/>
      <c r="TH2" s="2"/>
      <c r="TI2" s="2"/>
      <c r="TU2" s="4"/>
      <c r="TW2" s="4"/>
    </row>
    <row r="3" spans="1:543">
      <c r="A3">
        <v>3702</v>
      </c>
      <c r="B3">
        <v>479</v>
      </c>
      <c r="C3">
        <v>6222398910</v>
      </c>
      <c r="D3" t="s">
        <v>40</v>
      </c>
      <c r="E3" t="s">
        <v>41</v>
      </c>
      <c r="F3" t="s">
        <v>42</v>
      </c>
      <c r="G3" s="2">
        <v>40267</v>
      </c>
      <c r="H3" t="s">
        <v>43</v>
      </c>
      <c r="I3" t="s">
        <v>44</v>
      </c>
      <c r="J3" t="s">
        <v>32</v>
      </c>
      <c r="K3" t="s">
        <v>45</v>
      </c>
      <c r="L3" t="s">
        <v>34</v>
      </c>
      <c r="M3" s="2"/>
      <c r="N3" t="s">
        <v>46</v>
      </c>
      <c r="O3" s="2">
        <f>DATE(YEAR(G3) + P3, MONTH(G3), DAY(G3))</f>
        <v>64739</v>
      </c>
      <c r="P3">
        <v>67</v>
      </c>
      <c r="Q3" s="2"/>
      <c r="R3" t="s">
        <v>47</v>
      </c>
      <c r="S3" t="s">
        <v>48</v>
      </c>
      <c r="T3" s="2">
        <v>43451</v>
      </c>
      <c r="U3" t="s">
        <v>49</v>
      </c>
      <c r="V3" t="s">
        <v>38</v>
      </c>
      <c r="W3">
        <v>3</v>
      </c>
      <c r="X3" s="1">
        <v>48488</v>
      </c>
      <c r="Y3" s="1">
        <f t="shared" ref="Y3:Y66" si="0">X3*0.25</f>
        <v>12122</v>
      </c>
      <c r="Z3" s="1">
        <f t="shared" ref="Z3:Z6" si="1">X3-Y3</f>
        <v>36366</v>
      </c>
      <c r="AA3" s="3">
        <v>114</v>
      </c>
      <c r="AK3" s="3"/>
      <c r="AM3" s="4"/>
      <c r="AO3" s="4"/>
      <c r="BA3" s="2"/>
      <c r="BD3" s="4"/>
      <c r="BF3" s="4"/>
      <c r="BM3" s="2"/>
      <c r="BO3" s="4"/>
      <c r="BQ3" s="4"/>
      <c r="CI3" s="2"/>
      <c r="CJ3" s="2"/>
      <c r="CN3" s="2"/>
      <c r="CQ3" s="2"/>
      <c r="CV3" s="4"/>
      <c r="CX3" s="4"/>
      <c r="DC3" s="2"/>
      <c r="DE3" s="2"/>
      <c r="DF3" s="2"/>
      <c r="DV3" s="2"/>
      <c r="DW3" s="2"/>
      <c r="EF3" s="4"/>
      <c r="EH3" s="4"/>
      <c r="ER3" s="2"/>
      <c r="EX3" s="4"/>
      <c r="EZ3" s="4"/>
      <c r="FQ3" s="4"/>
      <c r="FS3" s="4"/>
      <c r="GE3" s="2"/>
      <c r="GJ3" s="4"/>
      <c r="GR3" s="2"/>
      <c r="GT3" s="3"/>
      <c r="GV3" s="2"/>
      <c r="GX3" s="3"/>
      <c r="GY3" s="3"/>
      <c r="HB3" s="3"/>
      <c r="HP3" s="2"/>
      <c r="HS3" s="4"/>
      <c r="HU3" s="4"/>
      <c r="II3" s="4"/>
      <c r="IK3" s="4"/>
      <c r="IS3" s="2"/>
      <c r="IT3" s="2"/>
      <c r="IV3" s="2"/>
      <c r="IW3" s="4"/>
      <c r="IY3" s="4"/>
      <c r="JH3" s="2"/>
      <c r="JK3" s="4"/>
      <c r="JZ3" s="2"/>
      <c r="KI3" s="3"/>
      <c r="KJ3" s="4"/>
      <c r="KT3" s="2"/>
      <c r="KU3" s="2"/>
      <c r="KW3" s="2"/>
      <c r="LC3" s="2"/>
      <c r="LF3" s="2"/>
      <c r="LK3" s="2"/>
      <c r="LT3" s="4"/>
      <c r="LV3" s="4"/>
      <c r="NB3" s="2"/>
      <c r="NC3" s="2"/>
      <c r="NG3" s="5"/>
      <c r="NH3" s="3"/>
      <c r="NJ3" s="2"/>
      <c r="NN3" s="2"/>
      <c r="NO3" s="2"/>
      <c r="NT3" s="4"/>
      <c r="NV3" s="4"/>
      <c r="OA3" s="2"/>
      <c r="OB3" s="2"/>
      <c r="ON3" s="2"/>
      <c r="OR3" s="4"/>
      <c r="OT3" s="4"/>
      <c r="PD3" s="2"/>
      <c r="PH3" s="2"/>
      <c r="PI3" s="3"/>
      <c r="PQ3" s="2"/>
      <c r="PX3" s="2"/>
      <c r="PZ3" s="2"/>
      <c r="QF3" s="4"/>
      <c r="QH3" s="4"/>
      <c r="QX3" s="3"/>
      <c r="QZ3" s="2"/>
      <c r="RA3" s="2"/>
      <c r="RM3" s="3"/>
      <c r="RN3" s="4"/>
      <c r="RO3" s="4"/>
      <c r="RR3" s="2"/>
      <c r="RU3" s="2"/>
      <c r="SA3" s="4"/>
      <c r="SC3" s="4"/>
      <c r="SN3" s="2"/>
      <c r="SQ3" s="4"/>
      <c r="SS3" s="4"/>
      <c r="TG3" s="2"/>
      <c r="TH3" s="2"/>
      <c r="TI3" s="2"/>
      <c r="TU3" s="4"/>
      <c r="TW3" s="4"/>
    </row>
    <row r="4" spans="1:543">
      <c r="A4">
        <v>9664</v>
      </c>
      <c r="B4">
        <v>6488</v>
      </c>
      <c r="C4">
        <v>2380750556</v>
      </c>
      <c r="D4" t="s">
        <v>50</v>
      </c>
      <c r="E4" t="s">
        <v>51</v>
      </c>
      <c r="F4" t="s">
        <v>52</v>
      </c>
      <c r="G4" s="2">
        <v>24258</v>
      </c>
      <c r="H4" t="s">
        <v>30</v>
      </c>
      <c r="I4" t="s">
        <v>53</v>
      </c>
      <c r="J4" t="s">
        <v>32</v>
      </c>
      <c r="K4" t="s">
        <v>54</v>
      </c>
      <c r="L4" t="s">
        <v>34</v>
      </c>
      <c r="M4" s="2"/>
      <c r="N4" t="s">
        <v>55</v>
      </c>
      <c r="O4" s="2">
        <f>DATE(YEAR(G4) + P4, MONTH(G4), DAY(G4))</f>
        <v>46173</v>
      </c>
      <c r="P4">
        <v>60</v>
      </c>
      <c r="R4" t="s">
        <v>47</v>
      </c>
      <c r="S4" t="s">
        <v>48</v>
      </c>
      <c r="T4" s="2">
        <v>23526</v>
      </c>
      <c r="U4" t="s">
        <v>38</v>
      </c>
      <c r="V4" t="s">
        <v>56</v>
      </c>
      <c r="W4">
        <v>12</v>
      </c>
      <c r="X4" s="1">
        <v>9666</v>
      </c>
      <c r="Y4" s="1">
        <f t="shared" si="0"/>
        <v>2416.5</v>
      </c>
      <c r="Z4" s="1">
        <f t="shared" si="1"/>
        <v>7249.5</v>
      </c>
      <c r="AA4" s="3">
        <v>566</v>
      </c>
      <c r="AK4" s="3"/>
      <c r="AM4" s="4"/>
      <c r="AO4" s="4"/>
      <c r="BA4" s="2"/>
      <c r="BB4" s="2"/>
      <c r="BD4" s="4"/>
      <c r="BF4" s="4"/>
      <c r="BM4" s="2"/>
      <c r="BO4" s="4"/>
      <c r="BQ4" s="4"/>
      <c r="CH4" s="3"/>
      <c r="CI4" s="2"/>
      <c r="CJ4" s="2"/>
      <c r="CN4" s="2"/>
      <c r="CQ4" s="2"/>
      <c r="CV4" s="4"/>
      <c r="CX4" s="4"/>
      <c r="CZ4" s="3"/>
      <c r="DB4" s="2"/>
      <c r="DC4" s="2"/>
      <c r="DE4" s="2"/>
      <c r="DV4" s="2"/>
      <c r="DW4" s="2"/>
      <c r="EF4" s="4"/>
      <c r="EH4" s="4"/>
      <c r="ER4" s="2"/>
      <c r="ES4" s="2"/>
      <c r="EX4" s="4"/>
      <c r="EZ4" s="4"/>
      <c r="FQ4" s="4"/>
      <c r="FS4" s="4"/>
      <c r="GE4" s="2"/>
      <c r="GJ4" s="4"/>
      <c r="GL4" s="4"/>
      <c r="GR4" s="2"/>
      <c r="GT4" s="3"/>
      <c r="GU4" s="3"/>
      <c r="GV4" s="2"/>
      <c r="HB4" s="3"/>
      <c r="HP4" s="2"/>
      <c r="HS4" s="4"/>
      <c r="HU4" s="4"/>
      <c r="II4" s="4"/>
      <c r="IS4" s="2"/>
      <c r="IT4" s="2"/>
      <c r="IV4" s="2"/>
      <c r="IW4" s="4"/>
      <c r="IY4" s="4"/>
      <c r="JH4" s="2"/>
      <c r="JK4" s="4"/>
      <c r="JM4" s="4"/>
      <c r="JZ4" s="2"/>
      <c r="KD4" s="4"/>
      <c r="KF4" s="4"/>
      <c r="KU4" s="2"/>
      <c r="KW4" s="2"/>
      <c r="LC4" s="2"/>
      <c r="LF4" s="2"/>
      <c r="LK4" s="2"/>
      <c r="LT4" s="4"/>
      <c r="LV4" s="4"/>
      <c r="NB4" s="2"/>
      <c r="NJ4" s="2"/>
      <c r="NN4" s="2"/>
      <c r="NO4" s="2"/>
      <c r="NV4" s="4"/>
      <c r="OA4" s="2"/>
      <c r="OB4" s="2"/>
      <c r="ON4" s="2"/>
      <c r="OR4" s="4"/>
      <c r="OT4" s="4"/>
      <c r="PD4" s="2"/>
      <c r="PH4" s="2"/>
      <c r="PQ4" s="2"/>
      <c r="PX4" s="2"/>
      <c r="PZ4" s="2"/>
      <c r="QF4" s="4"/>
      <c r="QH4" s="4"/>
      <c r="QZ4" s="2"/>
      <c r="RA4" s="2"/>
      <c r="RN4" s="4"/>
      <c r="RO4" s="4"/>
      <c r="RR4" s="2"/>
      <c r="RU4" s="2"/>
      <c r="SA4" s="4"/>
      <c r="SC4" s="4"/>
      <c r="SN4" s="2"/>
      <c r="SQ4" s="4"/>
      <c r="SS4" s="4"/>
      <c r="TG4" s="2"/>
      <c r="TH4" s="2"/>
      <c r="TI4" s="2"/>
      <c r="TU4" s="4"/>
      <c r="TW4" s="4"/>
    </row>
    <row r="5" spans="1:543">
      <c r="A5">
        <v>7135</v>
      </c>
      <c r="B5">
        <v>5766</v>
      </c>
      <c r="C5">
        <v>8749594656</v>
      </c>
      <c r="D5" t="s">
        <v>57</v>
      </c>
      <c r="E5" t="s">
        <v>58</v>
      </c>
      <c r="F5" t="s">
        <v>59</v>
      </c>
      <c r="G5" s="2">
        <v>34675</v>
      </c>
      <c r="H5" t="s">
        <v>30</v>
      </c>
      <c r="I5" t="s">
        <v>60</v>
      </c>
      <c r="J5" t="s">
        <v>61</v>
      </c>
      <c r="K5" t="s">
        <v>62</v>
      </c>
      <c r="L5" t="s">
        <v>34</v>
      </c>
      <c r="M5" s="2"/>
      <c r="N5" t="s">
        <v>63</v>
      </c>
      <c r="O5" s="2">
        <f>DATE(YEAR(G5) + P5, MONTH(G5), DAY(G5))</f>
        <v>59877</v>
      </c>
      <c r="P5">
        <v>69</v>
      </c>
      <c r="Q5" s="2"/>
      <c r="R5" t="s">
        <v>47</v>
      </c>
      <c r="S5" t="s">
        <v>64</v>
      </c>
      <c r="T5" s="2">
        <v>43799</v>
      </c>
      <c r="U5" t="s">
        <v>65</v>
      </c>
      <c r="V5" t="s">
        <v>66</v>
      </c>
      <c r="W5">
        <v>20</v>
      </c>
      <c r="X5" s="1">
        <v>99337</v>
      </c>
      <c r="Y5" s="1">
        <f t="shared" si="0"/>
        <v>24834.25</v>
      </c>
      <c r="Z5" s="1">
        <f t="shared" si="1"/>
        <v>74502.75</v>
      </c>
      <c r="AA5" s="3">
        <v>256</v>
      </c>
      <c r="AK5" s="3"/>
      <c r="AM5" s="4"/>
      <c r="AO5" s="4"/>
      <c r="BA5" s="2"/>
      <c r="BB5" s="2"/>
      <c r="BD5" s="4"/>
      <c r="BF5" s="4"/>
      <c r="BM5" s="2"/>
      <c r="BO5" s="4"/>
      <c r="BQ5" s="4"/>
      <c r="CF5" s="3"/>
      <c r="CI5" s="2"/>
      <c r="CJ5" s="2"/>
      <c r="CL5" s="3"/>
      <c r="CN5" s="2"/>
      <c r="CQ5" s="2"/>
      <c r="CV5" s="4"/>
      <c r="CX5" s="4"/>
      <c r="CZ5" s="3"/>
      <c r="DB5" s="2"/>
      <c r="DC5" s="2"/>
      <c r="DE5" s="2"/>
      <c r="DF5" s="2"/>
      <c r="DV5" s="2"/>
      <c r="DW5" s="2"/>
      <c r="DY5" s="3"/>
      <c r="EF5" s="4"/>
      <c r="EH5" s="4"/>
      <c r="ER5" s="2"/>
      <c r="ES5" s="2"/>
      <c r="EX5" s="4"/>
      <c r="EZ5" s="4"/>
      <c r="FQ5" s="4"/>
      <c r="FS5" s="4"/>
      <c r="GE5" s="2"/>
      <c r="GJ5" s="4"/>
      <c r="GL5" s="4"/>
      <c r="GR5" s="2"/>
      <c r="GT5" s="3"/>
      <c r="GV5" s="2"/>
      <c r="GY5" s="3"/>
      <c r="HB5" s="3"/>
      <c r="HO5" s="3"/>
      <c r="HP5" s="2"/>
      <c r="HS5" s="4"/>
      <c r="IF5" s="3"/>
      <c r="II5" s="4"/>
      <c r="IK5" s="4"/>
      <c r="IS5" s="2"/>
      <c r="IT5" s="2"/>
      <c r="IV5" s="2"/>
      <c r="IW5" s="4"/>
      <c r="IY5" s="4"/>
      <c r="JK5" s="4"/>
      <c r="JM5" s="4"/>
      <c r="JZ5" s="2"/>
      <c r="KD5" s="4"/>
      <c r="KF5" s="4"/>
      <c r="KT5" s="2"/>
      <c r="KW5" s="2"/>
      <c r="LC5" s="2"/>
      <c r="LF5" s="2"/>
      <c r="LK5" s="2"/>
      <c r="LT5" s="4"/>
      <c r="LV5" s="4"/>
      <c r="NB5" s="2"/>
      <c r="NC5" s="2"/>
      <c r="NH5" s="3"/>
      <c r="NJ5" s="2"/>
      <c r="NN5" s="2"/>
      <c r="NO5" s="2"/>
      <c r="NT5" s="4"/>
      <c r="NV5" s="4"/>
      <c r="OA5" s="2"/>
      <c r="OB5" s="2"/>
      <c r="OO5" s="3"/>
      <c r="OR5" s="4"/>
      <c r="OT5" s="4"/>
      <c r="PD5" s="2"/>
      <c r="PH5" s="2"/>
      <c r="PI5" s="3"/>
      <c r="PQ5" s="2"/>
      <c r="PX5" s="2"/>
      <c r="PZ5" s="2"/>
      <c r="QF5" s="4"/>
      <c r="QH5" s="4"/>
      <c r="QZ5" s="2"/>
      <c r="RA5" s="2"/>
      <c r="RN5" s="4"/>
      <c r="RO5" s="4"/>
      <c r="RR5" s="2"/>
      <c r="RT5" s="2"/>
      <c r="RU5" s="2"/>
      <c r="SA5" s="4"/>
      <c r="SC5" s="4"/>
      <c r="SN5" s="2"/>
      <c r="SQ5" s="4"/>
      <c r="SS5" s="4"/>
      <c r="TG5" s="2"/>
      <c r="TH5" s="2"/>
      <c r="TI5" s="2"/>
      <c r="TU5" s="4"/>
      <c r="TW5" s="4"/>
    </row>
    <row r="6" spans="1:543">
      <c r="A6">
        <v>1231</v>
      </c>
      <c r="B6">
        <v>5467</v>
      </c>
      <c r="C6">
        <v>3749084927</v>
      </c>
      <c r="D6" t="s">
        <v>67</v>
      </c>
      <c r="E6" t="s">
        <v>68</v>
      </c>
      <c r="F6" t="s">
        <v>69</v>
      </c>
      <c r="G6" s="2">
        <v>33649</v>
      </c>
      <c r="H6" t="s">
        <v>30</v>
      </c>
      <c r="I6" t="s">
        <v>70</v>
      </c>
      <c r="J6" t="s">
        <v>32</v>
      </c>
      <c r="L6" t="s">
        <v>34</v>
      </c>
      <c r="M6" s="2"/>
      <c r="N6" t="s">
        <v>71</v>
      </c>
      <c r="O6" s="2">
        <f>DATE(YEAR(G6) + P6, MONTH(G6), DAY(G6))</f>
        <v>59217</v>
      </c>
      <c r="P6">
        <v>70</v>
      </c>
      <c r="Q6" s="2">
        <v>42585</v>
      </c>
      <c r="R6" t="s">
        <v>36</v>
      </c>
      <c r="S6" t="s">
        <v>37</v>
      </c>
      <c r="T6" s="2">
        <v>39033</v>
      </c>
      <c r="U6" t="s">
        <v>65</v>
      </c>
      <c r="V6" t="s">
        <v>66</v>
      </c>
      <c r="W6">
        <v>11</v>
      </c>
      <c r="X6" s="1">
        <v>89020</v>
      </c>
      <c r="Y6" s="1">
        <f t="shared" si="0"/>
        <v>22255</v>
      </c>
      <c r="Z6" s="1">
        <f t="shared" si="1"/>
        <v>66765</v>
      </c>
      <c r="AA6" s="3">
        <v>569</v>
      </c>
      <c r="AK6" s="3"/>
      <c r="AM6" s="4"/>
      <c r="BA6" s="2"/>
      <c r="BB6" s="2"/>
      <c r="BD6" s="4"/>
      <c r="BF6" s="4"/>
      <c r="BM6" s="2"/>
      <c r="BO6" s="4"/>
      <c r="BQ6" s="4"/>
      <c r="CI6" s="2"/>
      <c r="CN6" s="2"/>
      <c r="CP6" s="3"/>
      <c r="CQ6" s="2"/>
      <c r="CV6" s="4"/>
      <c r="CX6" s="4"/>
      <c r="DB6" s="2"/>
      <c r="DC6" s="2"/>
      <c r="DE6" s="2"/>
      <c r="DF6" s="2"/>
      <c r="DV6" s="2"/>
      <c r="DW6" s="2"/>
      <c r="EF6" s="4"/>
      <c r="EH6" s="4"/>
      <c r="ER6" s="2"/>
      <c r="ES6" s="2"/>
      <c r="EX6" s="4"/>
      <c r="FQ6" s="4"/>
      <c r="FS6" s="4"/>
      <c r="GE6" s="2"/>
      <c r="GJ6" s="4"/>
      <c r="GL6" s="4"/>
      <c r="GR6" s="2"/>
      <c r="GV6" s="2"/>
      <c r="GY6" s="3"/>
      <c r="HB6" s="3"/>
      <c r="HN6" s="3"/>
      <c r="HP6" s="2"/>
      <c r="HS6" s="4"/>
      <c r="HU6" s="4"/>
      <c r="II6" s="4"/>
      <c r="IK6" s="4"/>
      <c r="IT6" s="2"/>
      <c r="IV6" s="2"/>
      <c r="IW6" s="4"/>
      <c r="JH6" s="2"/>
      <c r="JK6" s="4"/>
      <c r="JM6" s="4"/>
      <c r="JZ6" s="2"/>
      <c r="KD6" s="4"/>
      <c r="KF6" s="4"/>
      <c r="KJ6" s="4"/>
      <c r="KT6" s="2"/>
      <c r="KU6" s="2"/>
      <c r="KW6" s="2"/>
      <c r="LC6" s="2"/>
      <c r="LF6" s="2"/>
      <c r="LK6" s="2"/>
      <c r="LT6" s="4"/>
      <c r="LV6" s="4"/>
      <c r="NB6" s="2"/>
      <c r="NC6" s="2"/>
      <c r="NG6" s="5"/>
      <c r="NJ6" s="2"/>
      <c r="NN6" s="2"/>
      <c r="NO6" s="2"/>
      <c r="NT6" s="4"/>
      <c r="NV6" s="4"/>
      <c r="OA6" s="2"/>
      <c r="OB6" s="2"/>
      <c r="ON6" s="2"/>
      <c r="OR6" s="4"/>
      <c r="OT6" s="4"/>
      <c r="PD6" s="2"/>
      <c r="PH6" s="2"/>
      <c r="PK6" s="3"/>
      <c r="PQ6" s="2"/>
      <c r="PX6" s="2"/>
      <c r="PZ6" s="2"/>
      <c r="QF6" s="4"/>
      <c r="QH6" s="4"/>
      <c r="QZ6" s="2"/>
      <c r="RA6" s="2"/>
      <c r="RN6" s="4"/>
      <c r="RO6" s="4"/>
      <c r="RR6" s="2"/>
      <c r="RT6" s="2"/>
      <c r="RU6" s="2"/>
      <c r="SA6" s="4"/>
      <c r="SC6" s="4"/>
      <c r="SN6" s="2"/>
      <c r="SQ6" s="4"/>
      <c r="SS6" s="4"/>
      <c r="TG6" s="2"/>
      <c r="TO6" s="3"/>
      <c r="TP6" s="3"/>
      <c r="TU6" s="4"/>
      <c r="TW6" s="4"/>
    </row>
    <row r="7" spans="1:543">
      <c r="A7">
        <v>9553</v>
      </c>
      <c r="B7">
        <v>9135</v>
      </c>
      <c r="C7">
        <v>1523905023</v>
      </c>
      <c r="D7" t="s">
        <v>72</v>
      </c>
      <c r="E7" t="s">
        <v>73</v>
      </c>
      <c r="F7" t="s">
        <v>74</v>
      </c>
      <c r="G7" s="2">
        <v>40121</v>
      </c>
      <c r="H7" t="s">
        <v>43</v>
      </c>
      <c r="I7" t="s">
        <v>75</v>
      </c>
      <c r="J7" t="s">
        <v>32</v>
      </c>
      <c r="K7" t="s">
        <v>76</v>
      </c>
      <c r="L7" t="s">
        <v>77</v>
      </c>
      <c r="M7" s="2"/>
      <c r="N7" t="s">
        <v>78</v>
      </c>
      <c r="O7" s="2">
        <f>DATE(YEAR(G7) + P7, MONTH(G7), DAY(G7))</f>
        <v>64593</v>
      </c>
      <c r="P7">
        <v>67</v>
      </c>
      <c r="Q7" s="2"/>
      <c r="R7" t="s">
        <v>47</v>
      </c>
      <c r="S7" t="s">
        <v>64</v>
      </c>
      <c r="T7" s="2">
        <v>42178</v>
      </c>
      <c r="U7" t="s">
        <v>38</v>
      </c>
      <c r="V7" t="s">
        <v>66</v>
      </c>
      <c r="W7">
        <v>5</v>
      </c>
      <c r="X7" s="1">
        <v>25089</v>
      </c>
      <c r="Y7" s="1">
        <f t="shared" si="0"/>
        <v>6272.25</v>
      </c>
      <c r="Z7" s="1">
        <v>41295.31</v>
      </c>
      <c r="AA7" s="3">
        <v>126</v>
      </c>
      <c r="AB7" s="3"/>
      <c r="AK7" s="3"/>
      <c r="AM7" s="4"/>
      <c r="AO7" s="4"/>
      <c r="BA7" s="2"/>
      <c r="BD7" s="4"/>
      <c r="BF7" s="4"/>
      <c r="BM7" s="2"/>
      <c r="BO7" s="4"/>
      <c r="BQ7" s="4"/>
      <c r="CI7" s="2"/>
      <c r="CJ7" s="2"/>
      <c r="CN7" s="2"/>
      <c r="CQ7" s="2"/>
      <c r="CV7" s="4"/>
      <c r="CX7" s="4"/>
      <c r="DC7" s="2"/>
      <c r="DE7" s="2"/>
      <c r="DF7" s="2"/>
      <c r="DG7" s="3"/>
      <c r="DV7" s="2"/>
      <c r="DW7" s="2"/>
      <c r="DY7" s="3"/>
      <c r="EF7" s="4"/>
      <c r="EH7" s="4"/>
      <c r="ER7" s="2"/>
      <c r="ES7" s="2"/>
      <c r="EX7" s="4"/>
      <c r="EZ7" s="4"/>
      <c r="FQ7" s="4"/>
      <c r="GE7" s="2"/>
      <c r="GJ7" s="4"/>
      <c r="GL7" s="4"/>
      <c r="GR7" s="2"/>
      <c r="GU7" s="3"/>
      <c r="GV7" s="2"/>
      <c r="GW7" s="3"/>
      <c r="GX7" s="3"/>
      <c r="HB7" s="3"/>
      <c r="HP7" s="2"/>
      <c r="HS7" s="4"/>
      <c r="HU7" s="4"/>
      <c r="II7" s="4"/>
      <c r="IK7" s="4"/>
      <c r="IS7" s="2"/>
      <c r="IT7" s="2"/>
      <c r="IV7" s="2"/>
      <c r="IW7" s="4"/>
      <c r="IY7" s="4"/>
      <c r="JH7" s="2"/>
      <c r="JK7" s="4"/>
      <c r="JM7" s="4"/>
      <c r="JZ7" s="2"/>
      <c r="KD7" s="4"/>
      <c r="KF7" s="4"/>
      <c r="KJ7" s="4"/>
      <c r="KT7" s="2"/>
      <c r="KU7" s="2"/>
      <c r="KW7" s="2"/>
      <c r="LC7" s="2"/>
      <c r="LF7" s="2"/>
      <c r="LK7" s="2"/>
      <c r="LT7" s="4"/>
      <c r="LV7" s="4"/>
      <c r="MD7" s="3"/>
      <c r="NB7" s="2"/>
      <c r="NC7" s="2"/>
      <c r="NJ7" s="2"/>
      <c r="NN7" s="2"/>
      <c r="NO7" s="2"/>
      <c r="NT7" s="4"/>
      <c r="NV7" s="4"/>
      <c r="OA7" s="2"/>
      <c r="OB7" s="2"/>
      <c r="ON7" s="2"/>
      <c r="OR7" s="4"/>
      <c r="OT7" s="4"/>
      <c r="PD7" s="2"/>
      <c r="PH7" s="2"/>
      <c r="PQ7" s="2"/>
      <c r="PX7" s="2"/>
      <c r="PZ7" s="2"/>
      <c r="QF7" s="4"/>
      <c r="QH7" s="4"/>
      <c r="QZ7" s="2"/>
      <c r="RA7" s="2"/>
      <c r="RN7" s="4"/>
      <c r="RR7" s="2"/>
      <c r="RT7" s="2"/>
      <c r="RU7" s="2"/>
      <c r="SC7" s="4"/>
      <c r="SN7" s="2"/>
      <c r="SQ7" s="4"/>
      <c r="SS7" s="4"/>
      <c r="TG7" s="2"/>
      <c r="TH7" s="2"/>
      <c r="TI7" s="2"/>
      <c r="TP7" s="3"/>
      <c r="TU7" s="4"/>
      <c r="TW7" s="4"/>
    </row>
    <row r="8" spans="1:543">
      <c r="A8">
        <v>3545</v>
      </c>
      <c r="B8">
        <v>1951</v>
      </c>
      <c r="C8">
        <v>2877524120</v>
      </c>
      <c r="D8" t="s">
        <v>79</v>
      </c>
      <c r="E8" t="s">
        <v>80</v>
      </c>
      <c r="F8" t="s">
        <v>81</v>
      </c>
      <c r="G8" s="2">
        <v>40390</v>
      </c>
      <c r="H8" t="s">
        <v>43</v>
      </c>
      <c r="I8" t="s">
        <v>44</v>
      </c>
      <c r="J8" t="s">
        <v>32</v>
      </c>
      <c r="K8" t="s">
        <v>82</v>
      </c>
      <c r="L8" t="s">
        <v>77</v>
      </c>
      <c r="M8" s="2"/>
      <c r="N8" t="s">
        <v>83</v>
      </c>
      <c r="O8" s="2">
        <v>59142</v>
      </c>
      <c r="P8">
        <v>68</v>
      </c>
      <c r="Q8" s="2"/>
      <c r="R8" t="s">
        <v>47</v>
      </c>
      <c r="S8" t="s">
        <v>37</v>
      </c>
      <c r="T8" s="2">
        <v>34577</v>
      </c>
      <c r="U8" t="s">
        <v>65</v>
      </c>
      <c r="V8" t="s">
        <v>56</v>
      </c>
      <c r="W8">
        <v>8</v>
      </c>
      <c r="X8" s="1">
        <v>21217</v>
      </c>
      <c r="Y8" s="1">
        <f t="shared" si="0"/>
        <v>5304.25</v>
      </c>
      <c r="Z8" s="1">
        <f>X8-Y8</f>
        <v>15912.75</v>
      </c>
      <c r="AA8" s="3">
        <v>77</v>
      </c>
      <c r="AK8" s="3"/>
      <c r="AM8" s="4"/>
      <c r="AO8" s="4"/>
      <c r="BA8" s="2"/>
      <c r="BB8" s="2"/>
      <c r="BD8" s="4"/>
      <c r="BF8" s="4"/>
      <c r="BM8" s="2"/>
      <c r="BQ8" s="4"/>
      <c r="CF8" s="3"/>
      <c r="CI8" s="2"/>
      <c r="CJ8" s="2"/>
      <c r="CQ8" s="2"/>
      <c r="CV8" s="4"/>
      <c r="CX8" s="4"/>
      <c r="DC8" s="2"/>
      <c r="DE8" s="2"/>
      <c r="DF8" s="2"/>
      <c r="DV8" s="2"/>
      <c r="DW8" s="2"/>
      <c r="EF8" s="4"/>
      <c r="EH8" s="4"/>
      <c r="ES8" s="2"/>
      <c r="EX8" s="4"/>
      <c r="EZ8" s="4"/>
      <c r="FQ8" s="4"/>
      <c r="GE8" s="2"/>
      <c r="GJ8" s="4"/>
      <c r="GL8" s="4"/>
      <c r="GR8" s="2"/>
      <c r="GV8" s="2"/>
      <c r="GW8" s="3"/>
      <c r="GX8" s="3"/>
      <c r="GY8" s="3"/>
      <c r="HP8" s="2"/>
      <c r="HS8" s="4"/>
      <c r="HU8" s="4"/>
      <c r="IF8" s="3"/>
      <c r="II8" s="4"/>
      <c r="IK8" s="4"/>
      <c r="IS8" s="2"/>
      <c r="IT8" s="2"/>
      <c r="IV8" s="2"/>
      <c r="IW8" s="4"/>
      <c r="IY8" s="4"/>
      <c r="JH8" s="2"/>
      <c r="JK8" s="4"/>
      <c r="JM8" s="4"/>
      <c r="JZ8" s="2"/>
      <c r="KD8" s="4"/>
      <c r="KF8" s="4"/>
      <c r="KJ8" s="4"/>
      <c r="KT8" s="2"/>
      <c r="KU8" s="2"/>
      <c r="KW8" s="2"/>
      <c r="LC8" s="2"/>
      <c r="LF8" s="2"/>
      <c r="LK8" s="2"/>
      <c r="LT8" s="4"/>
      <c r="LV8" s="4"/>
      <c r="MF8" s="3"/>
      <c r="NB8" s="2"/>
      <c r="NC8" s="2"/>
      <c r="NJ8" s="2"/>
      <c r="NN8" s="2"/>
      <c r="NO8" s="2"/>
      <c r="NT8" s="4"/>
      <c r="NV8" s="4"/>
      <c r="OA8" s="2"/>
      <c r="OB8" s="2"/>
      <c r="ON8" s="2"/>
      <c r="OR8" s="4"/>
      <c r="OT8" s="4"/>
      <c r="PD8" s="2"/>
      <c r="PH8" s="2"/>
      <c r="PX8" s="2"/>
      <c r="PZ8" s="2"/>
      <c r="QF8" s="4"/>
      <c r="QH8" s="4"/>
      <c r="QZ8" s="2"/>
      <c r="RA8" s="2"/>
      <c r="RN8" s="4"/>
      <c r="RO8" s="4"/>
      <c r="RR8" s="2"/>
      <c r="RT8" s="2"/>
      <c r="RU8" s="2"/>
      <c r="SA8" s="4"/>
      <c r="SC8" s="4"/>
      <c r="SN8" s="2"/>
      <c r="SQ8" s="4"/>
      <c r="SS8" s="4"/>
      <c r="TH8" s="2"/>
      <c r="TI8" s="2"/>
      <c r="TU8" s="4"/>
    </row>
    <row r="9" spans="1:543">
      <c r="A9">
        <v>8062</v>
      </c>
      <c r="B9">
        <v>5473</v>
      </c>
      <c r="C9">
        <v>1337033331</v>
      </c>
      <c r="D9" t="s">
        <v>84</v>
      </c>
      <c r="E9" t="s">
        <v>85</v>
      </c>
      <c r="F9" t="s">
        <v>86</v>
      </c>
      <c r="G9" s="2">
        <v>32841</v>
      </c>
      <c r="H9" t="s">
        <v>43</v>
      </c>
      <c r="I9" t="s">
        <v>87</v>
      </c>
      <c r="J9" t="s">
        <v>61</v>
      </c>
      <c r="K9" t="s">
        <v>88</v>
      </c>
      <c r="L9" t="s">
        <v>77</v>
      </c>
      <c r="M9" s="2">
        <v>39934</v>
      </c>
      <c r="N9" t="s">
        <v>89</v>
      </c>
      <c r="O9" s="2">
        <f>DATE(YEAR(G9) + P9, MONTH(G9), DAY(G9))</f>
        <v>57678</v>
      </c>
      <c r="P9">
        <v>68</v>
      </c>
      <c r="Q9" s="2"/>
      <c r="R9" t="s">
        <v>47</v>
      </c>
      <c r="S9" t="s">
        <v>64</v>
      </c>
      <c r="T9" s="2">
        <v>45413</v>
      </c>
      <c r="U9" t="s">
        <v>38</v>
      </c>
      <c r="V9" t="s">
        <v>56</v>
      </c>
      <c r="W9">
        <v>24</v>
      </c>
      <c r="X9" s="1">
        <v>98961</v>
      </c>
      <c r="Y9" s="1">
        <f t="shared" si="0"/>
        <v>24740.25</v>
      </c>
      <c r="Z9" s="1">
        <f t="shared" ref="Z9:Z15" si="2">X9-Y9</f>
        <v>74220.75</v>
      </c>
      <c r="AA9" s="3">
        <v>956</v>
      </c>
      <c r="AK9" s="3"/>
      <c r="AM9" s="4"/>
      <c r="AO9" s="4"/>
      <c r="BA9" s="2"/>
      <c r="BB9" s="2"/>
      <c r="BD9" s="4"/>
      <c r="BF9" s="4"/>
      <c r="BM9" s="2"/>
      <c r="BO9" s="4"/>
      <c r="BQ9" s="4"/>
      <c r="CI9" s="2"/>
      <c r="CJ9" s="2"/>
      <c r="CN9" s="2"/>
      <c r="CV9" s="4"/>
      <c r="CX9" s="4"/>
      <c r="DC9" s="2"/>
      <c r="DE9" s="2"/>
      <c r="DV9" s="2"/>
      <c r="DW9" s="2"/>
      <c r="DY9" s="3"/>
      <c r="EF9" s="4"/>
      <c r="EH9" s="4"/>
      <c r="ES9" s="2"/>
      <c r="EX9" s="4"/>
      <c r="EZ9" s="4"/>
      <c r="FQ9" s="4"/>
      <c r="FS9" s="4"/>
      <c r="GE9" s="2"/>
      <c r="GJ9" s="4"/>
      <c r="GL9" s="4"/>
      <c r="GR9" s="2"/>
      <c r="GS9" s="3"/>
      <c r="GV9" s="2"/>
      <c r="GX9" s="3"/>
      <c r="HB9" s="3"/>
      <c r="HP9" s="2"/>
      <c r="HS9" s="4"/>
      <c r="HU9" s="4"/>
      <c r="II9" s="4"/>
      <c r="IK9" s="4"/>
      <c r="IS9" s="2"/>
      <c r="IT9" s="2"/>
      <c r="IV9" s="2"/>
      <c r="IW9" s="4"/>
      <c r="IY9" s="4"/>
      <c r="JH9" s="2"/>
      <c r="JK9" s="4"/>
      <c r="JM9" s="4"/>
      <c r="JZ9" s="2"/>
      <c r="KD9" s="4"/>
      <c r="KF9" s="4"/>
      <c r="KJ9" s="4"/>
      <c r="KT9" s="2"/>
      <c r="KU9" s="2"/>
      <c r="KW9" s="2"/>
      <c r="LC9" s="2"/>
      <c r="LF9" s="2"/>
      <c r="LK9" s="2"/>
      <c r="LT9" s="4"/>
      <c r="LV9" s="4"/>
      <c r="NB9" s="2"/>
      <c r="NC9" s="2"/>
      <c r="NJ9" s="2"/>
      <c r="NN9" s="2"/>
      <c r="NT9" s="4"/>
      <c r="NV9" s="4"/>
      <c r="OA9" s="2"/>
      <c r="ON9" s="2"/>
      <c r="OR9" s="4"/>
      <c r="OT9" s="4"/>
      <c r="PD9" s="2"/>
      <c r="PH9" s="2"/>
      <c r="PN9" s="3"/>
      <c r="PQ9" s="2"/>
      <c r="PX9" s="2"/>
      <c r="PZ9" s="2"/>
      <c r="QF9" s="4"/>
      <c r="QH9" s="4"/>
      <c r="QZ9" s="2"/>
      <c r="RA9" s="2"/>
      <c r="RN9" s="4"/>
      <c r="RO9" s="4"/>
      <c r="RR9" s="2"/>
      <c r="RT9" s="2"/>
      <c r="RU9" s="2"/>
      <c r="SA9" s="4"/>
      <c r="SC9" s="4"/>
      <c r="SN9" s="2"/>
      <c r="SQ9" s="4"/>
      <c r="SS9" s="4"/>
      <c r="TG9" s="2"/>
      <c r="TH9" s="2"/>
      <c r="TI9" s="2"/>
      <c r="TU9" s="4"/>
      <c r="TW9" s="4"/>
    </row>
    <row r="10" spans="1:543">
      <c r="A10">
        <v>2400</v>
      </c>
      <c r="B10">
        <v>7257</v>
      </c>
      <c r="C10" s="3" t="s">
        <v>90</v>
      </c>
      <c r="D10" t="s">
        <v>91</v>
      </c>
      <c r="E10" t="s">
        <v>92</v>
      </c>
      <c r="F10" t="s">
        <v>93</v>
      </c>
      <c r="G10" s="2"/>
      <c r="H10" t="s">
        <v>30</v>
      </c>
      <c r="I10" t="s">
        <v>53</v>
      </c>
      <c r="J10" t="s">
        <v>32</v>
      </c>
      <c r="K10" t="s">
        <v>94</v>
      </c>
      <c r="L10" t="s">
        <v>95</v>
      </c>
      <c r="M10" s="2"/>
      <c r="N10" t="s">
        <v>96</v>
      </c>
      <c r="O10" s="2">
        <f>DATE(YEAR(G10) + P10, MONTH(G10), DAY(G10))</f>
        <v>25568</v>
      </c>
      <c r="P10">
        <v>70</v>
      </c>
      <c r="Q10" s="2"/>
      <c r="R10" t="s">
        <v>47</v>
      </c>
      <c r="S10" t="s">
        <v>48</v>
      </c>
      <c r="T10" s="2">
        <v>44236</v>
      </c>
      <c r="U10" t="s">
        <v>49</v>
      </c>
      <c r="V10" t="s">
        <v>38</v>
      </c>
      <c r="W10">
        <v>10</v>
      </c>
      <c r="X10" s="1">
        <v>74362</v>
      </c>
      <c r="Y10" s="1">
        <f t="shared" si="0"/>
        <v>18590.5</v>
      </c>
      <c r="Z10" s="1">
        <f t="shared" si="2"/>
        <v>55771.5</v>
      </c>
      <c r="AA10" s="3">
        <v>806</v>
      </c>
      <c r="AB10" s="3"/>
      <c r="AK10" s="3"/>
      <c r="AM10" s="4"/>
      <c r="AO10" s="4"/>
      <c r="BA10" s="2"/>
      <c r="BB10" s="2"/>
      <c r="BD10" s="4"/>
      <c r="BF10" s="4"/>
      <c r="BM10" s="2"/>
      <c r="BO10" s="4"/>
      <c r="BQ10" s="4"/>
      <c r="CI10" s="2"/>
      <c r="CJ10" s="2"/>
      <c r="CN10" s="2"/>
      <c r="CQ10" s="2"/>
      <c r="CV10" s="4"/>
      <c r="CX10" s="4"/>
      <c r="CZ10" s="3"/>
      <c r="DB10" s="2"/>
      <c r="DC10" s="2"/>
      <c r="DF10" s="2"/>
      <c r="DV10" s="2"/>
      <c r="DW10" s="2"/>
      <c r="EF10" s="4"/>
      <c r="EH10" s="4"/>
      <c r="ER10" s="2"/>
      <c r="ES10" s="2"/>
      <c r="EX10" s="4"/>
      <c r="EZ10" s="4"/>
      <c r="FQ10" s="4"/>
      <c r="FS10" s="4"/>
      <c r="GJ10" s="4"/>
      <c r="GL10" s="4"/>
      <c r="GR10" s="2"/>
      <c r="GT10" s="3"/>
      <c r="GU10" s="3"/>
      <c r="GV10" s="2"/>
      <c r="GY10" s="3"/>
      <c r="HB10" s="3"/>
      <c r="HP10" s="2"/>
      <c r="HS10" s="4"/>
      <c r="HU10" s="4"/>
      <c r="II10" s="4"/>
      <c r="IK10" s="4"/>
      <c r="IS10" s="2"/>
      <c r="IT10" s="2"/>
      <c r="IV10" s="2"/>
      <c r="IW10" s="4"/>
      <c r="IY10" s="4"/>
      <c r="JH10" s="2"/>
      <c r="JK10" s="4"/>
      <c r="JM10" s="4"/>
      <c r="JZ10" s="2"/>
      <c r="KD10" s="4"/>
      <c r="KF10" s="4"/>
      <c r="KJ10" s="4"/>
      <c r="KT10" s="2"/>
      <c r="KU10" s="2"/>
      <c r="KW10" s="2"/>
      <c r="LC10" s="2"/>
      <c r="LF10" s="2"/>
      <c r="LK10" s="2"/>
      <c r="LT10" s="4"/>
      <c r="LV10" s="4"/>
      <c r="ME10" s="3"/>
      <c r="MN10" s="5"/>
      <c r="NB10" s="2"/>
      <c r="NC10" s="2"/>
      <c r="NJ10" s="2"/>
      <c r="NO10" s="2"/>
      <c r="NT10" s="4"/>
      <c r="NV10" s="4"/>
      <c r="OA10" s="2"/>
      <c r="OB10" s="2"/>
      <c r="ON10" s="2"/>
      <c r="OR10" s="4"/>
      <c r="OT10" s="4"/>
      <c r="PD10" s="2"/>
      <c r="PH10" s="2"/>
      <c r="PQ10" s="2"/>
      <c r="PX10" s="2"/>
      <c r="PZ10" s="2"/>
      <c r="QF10" s="4"/>
      <c r="QH10" s="4"/>
      <c r="QZ10" s="2"/>
      <c r="RA10" s="2"/>
      <c r="RN10" s="4"/>
      <c r="RO10" s="4"/>
      <c r="RR10" s="2"/>
      <c r="RT10" s="2"/>
      <c r="RU10" s="2"/>
      <c r="SA10" s="4"/>
      <c r="SC10" s="4"/>
      <c r="SN10" s="2"/>
      <c r="SQ10" s="4"/>
      <c r="SS10" s="4"/>
      <c r="TH10" s="2"/>
      <c r="TI10" s="2"/>
      <c r="TW10" s="4"/>
    </row>
    <row r="11" spans="1:543">
      <c r="A11">
        <v>1936</v>
      </c>
      <c r="B11">
        <v>8551</v>
      </c>
      <c r="C11">
        <v>6874644557</v>
      </c>
      <c r="D11" t="s">
        <v>97</v>
      </c>
      <c r="E11" t="s">
        <v>98</v>
      </c>
      <c r="F11" t="s">
        <v>99</v>
      </c>
      <c r="G11" s="2">
        <v>32492</v>
      </c>
      <c r="H11" t="s">
        <v>30</v>
      </c>
      <c r="I11" t="s">
        <v>87</v>
      </c>
      <c r="J11" t="s">
        <v>32</v>
      </c>
      <c r="K11" t="s">
        <v>100</v>
      </c>
      <c r="L11" t="s">
        <v>34</v>
      </c>
      <c r="M11" s="2"/>
      <c r="N11" t="s">
        <v>101</v>
      </c>
      <c r="O11" s="2">
        <f>DATE(YEAR(G11) + P11, MONTH(G11), DAY(G11))</f>
        <v>55868</v>
      </c>
      <c r="P11">
        <v>64</v>
      </c>
      <c r="Q11" s="2">
        <v>30838</v>
      </c>
      <c r="R11" t="s">
        <v>36</v>
      </c>
      <c r="S11" t="s">
        <v>102</v>
      </c>
      <c r="T11" s="2">
        <v>43430</v>
      </c>
      <c r="U11" t="s">
        <v>103</v>
      </c>
      <c r="V11" t="s">
        <v>56</v>
      </c>
      <c r="W11">
        <v>24</v>
      </c>
      <c r="X11" s="1">
        <v>39297</v>
      </c>
      <c r="Y11" s="1">
        <f t="shared" si="0"/>
        <v>9824.25</v>
      </c>
      <c r="Z11" s="1">
        <f t="shared" si="2"/>
        <v>29472.75</v>
      </c>
      <c r="AA11" s="3">
        <v>358</v>
      </c>
      <c r="AJ11" s="3"/>
      <c r="AK11" s="3"/>
      <c r="AM11" s="4"/>
      <c r="AO11" s="4"/>
      <c r="BA11" s="2"/>
      <c r="BB11" s="2"/>
      <c r="BD11" s="4"/>
      <c r="BF11" s="4"/>
      <c r="BM11" s="2"/>
      <c r="BO11" s="4"/>
      <c r="CI11" s="2"/>
      <c r="CJ11" s="2"/>
      <c r="CN11" s="2"/>
      <c r="CQ11" s="2"/>
      <c r="CV11" s="4"/>
      <c r="CX11" s="4"/>
      <c r="DB11" s="2"/>
      <c r="DC11" s="2"/>
      <c r="DE11" s="2"/>
      <c r="DF11" s="2"/>
      <c r="DV11" s="2"/>
      <c r="DW11" s="2"/>
      <c r="EF11" s="4"/>
      <c r="EH11" s="4"/>
      <c r="ER11" s="2"/>
      <c r="ES11" s="2"/>
      <c r="EX11" s="4"/>
      <c r="EZ11" s="4"/>
      <c r="FQ11" s="4"/>
      <c r="FS11" s="4"/>
      <c r="GE11" s="2"/>
      <c r="GJ11" s="4"/>
      <c r="GL11" s="4"/>
      <c r="GS11" s="3"/>
      <c r="GT11" s="3"/>
      <c r="GV11" s="2"/>
      <c r="GX11" s="3"/>
      <c r="GY11" s="3"/>
      <c r="HB11" s="3"/>
      <c r="HS11" s="4"/>
      <c r="HU11" s="4"/>
      <c r="II11" s="4"/>
      <c r="IK11" s="4"/>
      <c r="IS11" s="2"/>
      <c r="IT11" s="2"/>
      <c r="IV11" s="2"/>
      <c r="IW11" s="4"/>
      <c r="IY11" s="4"/>
      <c r="JH11" s="2"/>
      <c r="JK11" s="4"/>
      <c r="JM11" s="4"/>
      <c r="JZ11" s="2"/>
      <c r="KD11" s="4"/>
      <c r="KF11" s="4"/>
      <c r="KJ11" s="4"/>
      <c r="KT11" s="2"/>
      <c r="KU11" s="2"/>
      <c r="KW11" s="2"/>
      <c r="LC11" s="2"/>
      <c r="LF11" s="2"/>
      <c r="LK11" s="2"/>
      <c r="LT11" s="4"/>
      <c r="LV11" s="4"/>
      <c r="MA11" s="3"/>
      <c r="NB11" s="2"/>
      <c r="NC11" s="2"/>
      <c r="NJ11" s="2"/>
      <c r="NN11" s="2"/>
      <c r="NO11" s="2"/>
      <c r="NT11" s="4"/>
      <c r="NV11" s="4"/>
      <c r="OA11" s="2"/>
      <c r="OB11" s="2"/>
      <c r="ON11" s="2"/>
      <c r="OR11" s="4"/>
      <c r="PD11" s="2"/>
      <c r="PH11" s="2"/>
      <c r="PQ11" s="2"/>
      <c r="PX11" s="2"/>
      <c r="PZ11" s="2"/>
      <c r="QF11" s="4"/>
      <c r="QH11" s="4"/>
      <c r="QZ11" s="2"/>
      <c r="RA11" s="2"/>
      <c r="RR11" s="2"/>
      <c r="RT11" s="2"/>
      <c r="RU11" s="2"/>
      <c r="SA11" s="4"/>
      <c r="SC11" s="4"/>
      <c r="SN11" s="2"/>
      <c r="SQ11" s="4"/>
      <c r="SS11" s="4"/>
      <c r="TG11" s="2"/>
      <c r="TH11" s="2"/>
      <c r="TI11" s="2"/>
      <c r="TU11" s="4"/>
      <c r="TW11" s="4"/>
    </row>
    <row r="12" spans="1:543">
      <c r="A12">
        <v>9803</v>
      </c>
      <c r="B12">
        <v>2581</v>
      </c>
      <c r="C12">
        <v>6649500323</v>
      </c>
      <c r="D12" t="s">
        <v>104</v>
      </c>
      <c r="E12" t="s">
        <v>105</v>
      </c>
      <c r="F12" t="s">
        <v>106</v>
      </c>
      <c r="G12" s="2">
        <v>40527</v>
      </c>
      <c r="H12" t="s">
        <v>43</v>
      </c>
      <c r="I12" t="s">
        <v>31</v>
      </c>
      <c r="J12" t="s">
        <v>32</v>
      </c>
      <c r="K12" t="s">
        <v>107</v>
      </c>
      <c r="L12" t="s">
        <v>34</v>
      </c>
      <c r="M12" s="2"/>
      <c r="N12" t="s">
        <v>108</v>
      </c>
      <c r="O12" s="2">
        <f>DATE(YEAR(G12) + P12, MONTH(G12), DAY(G12))</f>
        <v>63538</v>
      </c>
      <c r="P12">
        <v>63</v>
      </c>
      <c r="Q12" s="2"/>
      <c r="R12" t="s">
        <v>47</v>
      </c>
      <c r="S12" t="s">
        <v>109</v>
      </c>
      <c r="T12" s="2">
        <v>41273</v>
      </c>
      <c r="U12" t="s">
        <v>38</v>
      </c>
      <c r="V12" t="s">
        <v>56</v>
      </c>
      <c r="W12">
        <v>9</v>
      </c>
      <c r="X12" s="1">
        <v>61135</v>
      </c>
      <c r="Y12" s="1">
        <f t="shared" si="0"/>
        <v>15283.75</v>
      </c>
      <c r="Z12" s="1">
        <f t="shared" si="2"/>
        <v>45851.25</v>
      </c>
      <c r="AA12" s="3">
        <v>443</v>
      </c>
      <c r="AK12" s="3"/>
      <c r="AM12" s="4"/>
      <c r="AO12" s="4"/>
      <c r="BA12" s="2"/>
      <c r="BB12" s="2"/>
      <c r="BD12" s="4"/>
      <c r="BF12" s="4"/>
      <c r="BM12" s="2"/>
      <c r="BQ12" s="4"/>
      <c r="CI12" s="2"/>
      <c r="CJ12" s="2"/>
      <c r="CL12" s="3"/>
      <c r="CN12" s="2"/>
      <c r="CV12" s="4"/>
      <c r="CX12" s="4"/>
      <c r="DB12" s="2"/>
      <c r="DC12" s="2"/>
      <c r="DD12" s="3"/>
      <c r="DE12" s="2"/>
      <c r="DF12" s="2"/>
      <c r="DV12" s="2"/>
      <c r="DW12" s="2"/>
      <c r="EF12" s="4"/>
      <c r="EH12" s="4"/>
      <c r="ER12" s="2"/>
      <c r="ES12" s="2"/>
      <c r="EX12" s="4"/>
      <c r="EZ12" s="4"/>
      <c r="FQ12" s="4"/>
      <c r="FS12" s="4"/>
      <c r="GE12" s="2"/>
      <c r="GG12" s="3"/>
      <c r="GJ12" s="4"/>
      <c r="GL12" s="4"/>
      <c r="GR12" s="2"/>
      <c r="GV12" s="2"/>
      <c r="GW12" s="3"/>
      <c r="GX12" s="3"/>
      <c r="HB12" s="3"/>
      <c r="HP12" s="2"/>
      <c r="HS12" s="4"/>
      <c r="HU12" s="4"/>
      <c r="II12" s="4"/>
      <c r="IK12" s="4"/>
      <c r="IS12" s="2"/>
      <c r="IT12" s="2"/>
      <c r="IV12" s="2"/>
      <c r="IW12" s="4"/>
      <c r="IY12" s="4"/>
      <c r="JH12" s="2"/>
      <c r="JK12" s="4"/>
      <c r="JM12" s="4"/>
      <c r="KD12" s="4"/>
      <c r="KF12" s="4"/>
      <c r="KJ12" s="4"/>
      <c r="KT12" s="2"/>
      <c r="KU12" s="2"/>
      <c r="KW12" s="2"/>
      <c r="LC12" s="2"/>
      <c r="LF12" s="2"/>
      <c r="LK12" s="2"/>
      <c r="LT12" s="4"/>
      <c r="LV12" s="4"/>
      <c r="LZ12" s="3"/>
      <c r="NB12" s="2"/>
      <c r="NC12" s="2"/>
      <c r="NG12" s="5"/>
      <c r="NJ12" s="2"/>
      <c r="NN12" s="2"/>
      <c r="NO12" s="2"/>
      <c r="NT12" s="4"/>
      <c r="NV12" s="4"/>
      <c r="OA12" s="2"/>
      <c r="OB12" s="2"/>
      <c r="ON12" s="2"/>
      <c r="OR12" s="4"/>
      <c r="PD12" s="2"/>
      <c r="PI12" s="3"/>
      <c r="PQ12" s="2"/>
      <c r="PX12" s="2"/>
      <c r="PZ12" s="2"/>
      <c r="QF12" s="4"/>
      <c r="QH12" s="4"/>
      <c r="QJ12" s="3"/>
      <c r="QZ12" s="2"/>
      <c r="RA12" s="2"/>
      <c r="RN12" s="4"/>
      <c r="RO12" s="4"/>
      <c r="RR12" s="2"/>
      <c r="RT12" s="2"/>
      <c r="RU12" s="2"/>
      <c r="SC12" s="4"/>
      <c r="SN12" s="2"/>
      <c r="SQ12" s="4"/>
      <c r="SS12" s="4"/>
      <c r="TG12" s="2"/>
      <c r="TH12" s="2"/>
      <c r="TI12" s="2"/>
      <c r="TU12" s="4"/>
      <c r="TW12" s="4"/>
    </row>
    <row r="13" spans="1:543">
      <c r="A13">
        <v>6807</v>
      </c>
      <c r="B13">
        <v>2451</v>
      </c>
      <c r="C13">
        <v>6086261591</v>
      </c>
      <c r="D13" t="s">
        <v>110</v>
      </c>
      <c r="E13" t="s">
        <v>111</v>
      </c>
      <c r="F13" t="s">
        <v>112</v>
      </c>
      <c r="G13" s="2">
        <v>34332</v>
      </c>
      <c r="H13" t="s">
        <v>30</v>
      </c>
      <c r="I13" t="s">
        <v>113</v>
      </c>
      <c r="J13" t="s">
        <v>32</v>
      </c>
      <c r="K13" t="s">
        <v>114</v>
      </c>
      <c r="L13" t="s">
        <v>77</v>
      </c>
      <c r="M13" s="2"/>
      <c r="N13" t="s">
        <v>115</v>
      </c>
      <c r="O13" s="2">
        <f>DATE(YEAR(G13) + P13, MONTH(G13), DAY(G13))</f>
        <v>58438</v>
      </c>
      <c r="P13">
        <v>66</v>
      </c>
      <c r="Q13" s="2"/>
      <c r="R13" t="s">
        <v>47</v>
      </c>
      <c r="S13" t="s">
        <v>109</v>
      </c>
      <c r="T13" s="2">
        <v>35132</v>
      </c>
      <c r="U13" t="s">
        <v>65</v>
      </c>
      <c r="V13" t="s">
        <v>66</v>
      </c>
      <c r="W13">
        <v>28</v>
      </c>
      <c r="X13" s="1">
        <v>83655</v>
      </c>
      <c r="Y13" s="1">
        <f t="shared" si="0"/>
        <v>20913.75</v>
      </c>
      <c r="Z13" s="1">
        <f t="shared" si="2"/>
        <v>62741.25</v>
      </c>
      <c r="AA13" s="3">
        <v>712</v>
      </c>
      <c r="AB13" s="3"/>
      <c r="AK13" s="3"/>
      <c r="AM13" s="4"/>
      <c r="AO13" s="4"/>
      <c r="BA13" s="2"/>
      <c r="BB13" s="2"/>
      <c r="BD13" s="4"/>
      <c r="BF13" s="4"/>
      <c r="BM13" s="2"/>
      <c r="BO13" s="4"/>
      <c r="BQ13" s="4"/>
      <c r="CI13" s="2"/>
      <c r="CJ13" s="2"/>
      <c r="CM13" s="3"/>
      <c r="CN13" s="2"/>
      <c r="CQ13" s="2"/>
      <c r="CV13" s="4"/>
      <c r="CZ13" s="3"/>
      <c r="DB13" s="2"/>
      <c r="DC13" s="2"/>
      <c r="DE13" s="2"/>
      <c r="DF13" s="2"/>
      <c r="DG13" s="3"/>
      <c r="DV13" s="2"/>
      <c r="DW13" s="2"/>
      <c r="DY13" s="3"/>
      <c r="EF13" s="4"/>
      <c r="ER13" s="2"/>
      <c r="ES13" s="2"/>
      <c r="EX13" s="4"/>
      <c r="EZ13" s="4"/>
      <c r="FQ13" s="4"/>
      <c r="FS13" s="4"/>
      <c r="GE13" s="2"/>
      <c r="GG13" s="3"/>
      <c r="GJ13" s="4"/>
      <c r="GL13" s="4"/>
      <c r="GR13" s="2"/>
      <c r="GS13" s="3"/>
      <c r="GV13" s="2"/>
      <c r="GW13" s="3"/>
      <c r="HB13" s="3"/>
      <c r="HN13" s="3"/>
      <c r="HP13" s="2"/>
      <c r="HS13" s="4"/>
      <c r="HU13" s="4"/>
      <c r="II13" s="4"/>
      <c r="IK13" s="4"/>
      <c r="IS13" s="2"/>
      <c r="IT13" s="2"/>
      <c r="IV13" s="2"/>
      <c r="IW13" s="4"/>
      <c r="IY13" s="4"/>
      <c r="JH13" s="2"/>
      <c r="JK13" s="4"/>
      <c r="JM13" s="4"/>
      <c r="JZ13" s="2"/>
      <c r="KD13" s="4"/>
      <c r="KF13" s="4"/>
      <c r="KJ13" s="4"/>
      <c r="KT13" s="2"/>
      <c r="KU13" s="2"/>
      <c r="LC13" s="2"/>
      <c r="LF13" s="2"/>
      <c r="LK13" s="2"/>
      <c r="LT13" s="4"/>
      <c r="LV13" s="4"/>
      <c r="NB13" s="2"/>
      <c r="NC13" s="2"/>
      <c r="NG13" s="5"/>
      <c r="NJ13" s="2"/>
      <c r="NN13" s="2"/>
      <c r="NO13" s="2"/>
      <c r="NT13" s="4"/>
      <c r="NV13" s="4"/>
      <c r="OA13" s="2"/>
      <c r="OB13" s="2"/>
      <c r="ON13" s="2"/>
      <c r="OR13" s="4"/>
      <c r="OT13" s="4"/>
      <c r="PD13" s="2"/>
      <c r="PH13" s="2"/>
      <c r="PQ13" s="2"/>
      <c r="PX13" s="2"/>
      <c r="PZ13" s="2"/>
      <c r="QF13" s="4"/>
      <c r="QH13" s="4"/>
      <c r="QX13" s="3"/>
      <c r="QZ13" s="2"/>
      <c r="RA13" s="2"/>
      <c r="RO13" s="4"/>
      <c r="RR13" s="2"/>
      <c r="RT13" s="2"/>
      <c r="RU13" s="2"/>
      <c r="SA13" s="4"/>
      <c r="SC13" s="4"/>
      <c r="SN13" s="2"/>
      <c r="SQ13" s="4"/>
      <c r="TG13" s="2"/>
      <c r="TI13" s="2"/>
      <c r="TU13" s="4"/>
      <c r="TW13" s="4"/>
    </row>
    <row r="14" spans="1:543">
      <c r="A14">
        <v>2980</v>
      </c>
      <c r="B14">
        <v>8243</v>
      </c>
      <c r="C14">
        <v>3392646743</v>
      </c>
      <c r="D14" t="s">
        <v>116</v>
      </c>
      <c r="E14" t="s">
        <v>117</v>
      </c>
      <c r="F14" t="s">
        <v>118</v>
      </c>
      <c r="G14" s="2">
        <v>39101</v>
      </c>
      <c r="H14" t="s">
        <v>43</v>
      </c>
      <c r="I14" t="s">
        <v>60</v>
      </c>
      <c r="J14" t="s">
        <v>32</v>
      </c>
      <c r="K14" t="s">
        <v>119</v>
      </c>
      <c r="L14" t="s">
        <v>95</v>
      </c>
      <c r="M14" s="2"/>
      <c r="N14" t="s">
        <v>120</v>
      </c>
      <c r="O14" s="2">
        <f>DATE(YEAR(G14) + P14, MONTH(G14), DAY(G14))</f>
        <v>64669</v>
      </c>
      <c r="P14">
        <v>70</v>
      </c>
      <c r="Q14" s="2"/>
      <c r="R14" t="s">
        <v>47</v>
      </c>
      <c r="S14" t="s">
        <v>48</v>
      </c>
      <c r="T14" s="2">
        <v>23504</v>
      </c>
      <c r="U14" t="s">
        <v>38</v>
      </c>
      <c r="V14" t="s">
        <v>56</v>
      </c>
      <c r="W14">
        <v>11</v>
      </c>
      <c r="X14" s="1">
        <v>69450</v>
      </c>
      <c r="Y14" s="1">
        <f t="shared" si="0"/>
        <v>17362.5</v>
      </c>
      <c r="Z14" s="1">
        <f t="shared" si="2"/>
        <v>52087.5</v>
      </c>
      <c r="AA14" s="3">
        <v>379</v>
      </c>
      <c r="AK14" s="3"/>
      <c r="AM14" s="4"/>
      <c r="AO14" s="4"/>
      <c r="BA14" s="2"/>
      <c r="BB14" s="2"/>
      <c r="BD14" s="4"/>
      <c r="BF14" s="4"/>
      <c r="BM14" s="2"/>
      <c r="BO14" s="4"/>
      <c r="BQ14" s="4"/>
      <c r="CF14" s="3"/>
      <c r="CI14" s="2"/>
      <c r="CJ14" s="2"/>
      <c r="CM14" s="3"/>
      <c r="CN14" s="2"/>
      <c r="CQ14" s="2"/>
      <c r="CV14" s="4"/>
      <c r="CX14" s="4"/>
      <c r="DB14" s="2"/>
      <c r="DC14" s="2"/>
      <c r="DE14" s="2"/>
      <c r="DF14" s="2"/>
      <c r="DV14" s="2"/>
      <c r="DW14" s="2"/>
      <c r="DY14" s="3"/>
      <c r="EF14" s="4"/>
      <c r="EH14" s="4"/>
      <c r="ER14" s="2"/>
      <c r="ES14" s="2"/>
      <c r="EV14" s="3"/>
      <c r="EX14" s="4"/>
      <c r="EZ14" s="4"/>
      <c r="FQ14" s="4"/>
      <c r="FS14" s="4"/>
      <c r="GE14" s="2"/>
      <c r="GJ14" s="4"/>
      <c r="GL14" s="4"/>
      <c r="GV14" s="2"/>
      <c r="GY14" s="3"/>
      <c r="HB14" s="3"/>
      <c r="HP14" s="2"/>
      <c r="HS14" s="4"/>
      <c r="HU14" s="4"/>
      <c r="II14" s="4"/>
      <c r="IK14" s="4"/>
      <c r="IS14" s="2"/>
      <c r="IT14" s="2"/>
      <c r="IV14" s="2"/>
      <c r="IW14" s="4"/>
      <c r="IY14" s="4"/>
      <c r="JH14" s="2"/>
      <c r="JK14" s="4"/>
      <c r="JM14" s="4"/>
      <c r="JZ14" s="2"/>
      <c r="KD14" s="4"/>
      <c r="KF14" s="4"/>
      <c r="KJ14" s="4"/>
      <c r="KT14" s="2"/>
      <c r="KU14" s="2"/>
      <c r="KW14" s="2"/>
      <c r="LC14" s="2"/>
      <c r="LF14" s="2"/>
      <c r="LK14" s="2"/>
      <c r="LT14" s="4"/>
      <c r="LV14" s="4"/>
      <c r="MJ14" s="3"/>
      <c r="NB14" s="2"/>
      <c r="NC14" s="2"/>
      <c r="NH14" s="3"/>
      <c r="NJ14" s="2"/>
      <c r="NN14" s="2"/>
      <c r="NO14" s="2"/>
      <c r="NT14" s="4"/>
      <c r="NV14" s="4"/>
      <c r="OA14" s="2"/>
      <c r="OB14" s="2"/>
      <c r="ON14" s="2"/>
      <c r="OR14" s="4"/>
      <c r="OT14" s="4"/>
      <c r="PD14" s="2"/>
      <c r="PH14" s="2"/>
      <c r="PP14" s="3"/>
      <c r="PQ14" s="2"/>
      <c r="PZ14" s="2"/>
      <c r="QF14" s="4"/>
      <c r="QZ14" s="2"/>
      <c r="RA14" s="2"/>
      <c r="RN14" s="4"/>
      <c r="RO14" s="4"/>
      <c r="RR14" s="2"/>
      <c r="RT14" s="2"/>
      <c r="RU14" s="2"/>
      <c r="SA14" s="4"/>
      <c r="SC14" s="4"/>
      <c r="SN14" s="2"/>
      <c r="SS14" s="4"/>
      <c r="TG14" s="2"/>
      <c r="TH14" s="2"/>
      <c r="TI14" s="2"/>
      <c r="TU14" s="4"/>
      <c r="TW14" s="4"/>
    </row>
    <row r="15" spans="1:543">
      <c r="A15">
        <v>3760</v>
      </c>
      <c r="B15">
        <v>6300</v>
      </c>
      <c r="C15">
        <v>8273991497</v>
      </c>
      <c r="D15" t="s">
        <v>121</v>
      </c>
      <c r="E15" t="s">
        <v>122</v>
      </c>
      <c r="F15" t="s">
        <v>123</v>
      </c>
      <c r="G15" s="2">
        <v>40277</v>
      </c>
      <c r="H15" t="s">
        <v>30</v>
      </c>
      <c r="I15" t="s">
        <v>124</v>
      </c>
      <c r="J15" t="s">
        <v>32</v>
      </c>
      <c r="K15" t="s">
        <v>125</v>
      </c>
      <c r="L15" t="s">
        <v>34</v>
      </c>
      <c r="M15" s="2"/>
      <c r="N15" t="s">
        <v>126</v>
      </c>
      <c r="O15" s="2">
        <f>DATE(YEAR(G15) + P15, MONTH(G15), DAY(G15))</f>
        <v>62923</v>
      </c>
      <c r="P15">
        <v>62</v>
      </c>
      <c r="Q15" s="2"/>
      <c r="R15" t="s">
        <v>47</v>
      </c>
      <c r="S15" t="s">
        <v>109</v>
      </c>
      <c r="T15" t="s">
        <v>127</v>
      </c>
      <c r="U15" t="s">
        <v>49</v>
      </c>
      <c r="V15" t="s">
        <v>39</v>
      </c>
      <c r="W15">
        <v>28</v>
      </c>
      <c r="X15" s="1">
        <v>45055</v>
      </c>
      <c r="Y15" s="1">
        <f t="shared" si="0"/>
        <v>11263.75</v>
      </c>
      <c r="Z15" s="1">
        <f t="shared" si="2"/>
        <v>33791.25</v>
      </c>
      <c r="AA15" s="3">
        <v>581</v>
      </c>
      <c r="AK15" s="3"/>
      <c r="AM15" s="4"/>
      <c r="AO15" s="4"/>
      <c r="BA15" s="2"/>
      <c r="BB15" s="2"/>
      <c r="BD15" s="4"/>
      <c r="BF15" s="4"/>
      <c r="BM15" s="2"/>
      <c r="BO15" s="4"/>
      <c r="BQ15" s="4"/>
      <c r="CI15" s="2"/>
      <c r="CJ15" s="2"/>
      <c r="CN15" s="2"/>
      <c r="CQ15" s="2"/>
      <c r="CV15" s="4"/>
      <c r="CX15" s="4"/>
      <c r="DB15" s="2"/>
      <c r="DC15" s="2"/>
      <c r="DE15" s="2"/>
      <c r="DF15" s="2"/>
      <c r="DV15" s="2"/>
      <c r="DW15" s="2"/>
      <c r="EF15" s="4"/>
      <c r="EH15" s="4"/>
      <c r="ER15" s="2"/>
      <c r="ES15" s="2"/>
      <c r="EX15" s="4"/>
      <c r="EZ15" s="4"/>
      <c r="FQ15" s="4"/>
      <c r="FS15" s="4"/>
      <c r="GE15" s="2"/>
      <c r="GJ15" s="4"/>
      <c r="GL15" s="4"/>
      <c r="GR15" s="2"/>
      <c r="GV15" s="2"/>
      <c r="GX15" s="3"/>
      <c r="HB15" s="3"/>
      <c r="HP15" s="2"/>
      <c r="HS15" s="4"/>
      <c r="HU15" s="4"/>
      <c r="II15" s="4"/>
      <c r="IS15" s="2"/>
      <c r="IT15" s="2"/>
      <c r="IV15" s="2"/>
      <c r="IW15" s="4"/>
      <c r="JH15" s="2"/>
      <c r="JK15" s="4"/>
      <c r="JM15" s="4"/>
      <c r="JZ15" s="2"/>
      <c r="KD15" s="4"/>
      <c r="KF15" s="4"/>
      <c r="KJ15" s="4"/>
      <c r="KT15" s="2"/>
      <c r="LC15" s="2"/>
      <c r="LF15" s="2"/>
      <c r="LK15" s="2"/>
      <c r="LT15" s="4"/>
      <c r="NB15" s="2"/>
      <c r="NC15" s="2"/>
      <c r="NJ15" s="2"/>
      <c r="NN15" s="2"/>
      <c r="NO15" s="2"/>
      <c r="NT15" s="4"/>
      <c r="NV15" s="4"/>
      <c r="OA15" s="2"/>
      <c r="OB15" s="2"/>
      <c r="ON15" s="2"/>
      <c r="OR15" s="4"/>
      <c r="OT15" s="4"/>
      <c r="PD15" s="2"/>
      <c r="PH15" s="2"/>
      <c r="PQ15" s="2"/>
      <c r="PX15" s="2"/>
      <c r="PZ15" s="2"/>
      <c r="QF15" s="4"/>
      <c r="QH15" s="4"/>
      <c r="QZ15" s="2"/>
      <c r="RN15" s="4"/>
      <c r="RO15" s="4"/>
      <c r="RR15" s="2"/>
      <c r="RU15" s="2"/>
      <c r="SC15" s="4"/>
      <c r="SN15" s="2"/>
      <c r="SQ15" s="4"/>
      <c r="SS15" s="4"/>
      <c r="TH15" s="2"/>
      <c r="TI15" s="2"/>
      <c r="TU15" s="4"/>
      <c r="TW15" s="4"/>
    </row>
    <row r="16" spans="1:543">
      <c r="A16">
        <v>3743</v>
      </c>
      <c r="B16">
        <v>6544</v>
      </c>
      <c r="C16">
        <v>4134732831</v>
      </c>
      <c r="D16" t="s">
        <v>97</v>
      </c>
      <c r="E16" t="s">
        <v>128</v>
      </c>
      <c r="F16" t="s">
        <v>129</v>
      </c>
      <c r="G16" s="2">
        <v>39982</v>
      </c>
      <c r="H16" t="s">
        <v>43</v>
      </c>
      <c r="I16" t="s">
        <v>130</v>
      </c>
      <c r="J16" t="s">
        <v>32</v>
      </c>
      <c r="K16" t="s">
        <v>131</v>
      </c>
      <c r="L16" t="s">
        <v>95</v>
      </c>
      <c r="M16" s="2"/>
      <c r="N16" t="s">
        <v>132</v>
      </c>
      <c r="O16" s="2">
        <f>DATE(YEAR(G16) + P16, MONTH(G16), DAY(G16))</f>
        <v>62993</v>
      </c>
      <c r="P16">
        <v>63</v>
      </c>
      <c r="Q16" s="2"/>
      <c r="R16" t="s">
        <v>47</v>
      </c>
      <c r="S16" t="s">
        <v>102</v>
      </c>
      <c r="T16" s="2">
        <v>38177</v>
      </c>
      <c r="U16" t="s">
        <v>133</v>
      </c>
      <c r="V16" t="s">
        <v>39</v>
      </c>
      <c r="W16">
        <v>16</v>
      </c>
      <c r="X16" s="1">
        <f>85425+X17+X18+X19</f>
        <v>354591</v>
      </c>
      <c r="Y16" s="1">
        <f t="shared" si="0"/>
        <v>88647.75</v>
      </c>
      <c r="Z16" s="1">
        <f>X16-Y16</f>
        <v>265943.25</v>
      </c>
      <c r="AA16" s="3">
        <v>533</v>
      </c>
      <c r="AK16" s="3"/>
      <c r="AO16" s="4"/>
      <c r="BA16" s="2"/>
      <c r="BB16" s="2"/>
      <c r="BD16" s="4"/>
      <c r="BF16" s="4"/>
      <c r="BM16" s="2"/>
      <c r="BO16" s="4"/>
      <c r="BQ16" s="4"/>
      <c r="CI16" s="2"/>
      <c r="CJ16" s="2"/>
      <c r="CN16" s="2"/>
      <c r="CQ16" s="2"/>
      <c r="CV16" s="4"/>
      <c r="CX16" s="4"/>
      <c r="DB16" s="2"/>
      <c r="DC16" s="2"/>
      <c r="DE16" s="2"/>
      <c r="DF16" s="2"/>
      <c r="DV16" s="2"/>
      <c r="DW16" s="2"/>
      <c r="EC16" s="3"/>
      <c r="EF16" s="4"/>
      <c r="EH16" s="4"/>
      <c r="ER16" s="2"/>
      <c r="ES16" s="2"/>
      <c r="EV16" s="3"/>
      <c r="EX16" s="4"/>
      <c r="FQ16" s="4"/>
      <c r="FS16" s="4"/>
      <c r="GE16" s="2"/>
      <c r="GJ16" s="4"/>
      <c r="GL16" s="4"/>
      <c r="GR16" s="2"/>
      <c r="GT16" s="3"/>
      <c r="GV16" s="2"/>
      <c r="HB16" s="3"/>
      <c r="HP16" s="2"/>
      <c r="HS16" s="4"/>
      <c r="HU16" s="4"/>
      <c r="II16" s="4"/>
      <c r="IK16" s="4"/>
      <c r="IS16" s="2"/>
      <c r="IT16" s="2"/>
      <c r="IV16" s="2"/>
      <c r="IW16" s="4"/>
      <c r="IY16" s="4"/>
      <c r="JH16" s="2"/>
      <c r="JK16" s="4"/>
      <c r="JM16" s="4"/>
      <c r="JZ16" s="2"/>
      <c r="KD16" s="4"/>
      <c r="KF16" s="4"/>
      <c r="KJ16" s="4"/>
      <c r="KT16" s="2"/>
      <c r="KU16" s="2"/>
      <c r="KW16" s="2"/>
      <c r="LC16" s="2"/>
      <c r="LF16" s="2"/>
      <c r="LK16" s="2"/>
      <c r="LT16" s="4"/>
      <c r="LV16" s="4"/>
      <c r="MN16" s="5"/>
      <c r="NB16" s="2"/>
      <c r="NC16" s="2"/>
      <c r="NJ16" s="2"/>
      <c r="NO16" s="2"/>
      <c r="NT16" s="4"/>
      <c r="NV16" s="4"/>
      <c r="OA16" s="2"/>
      <c r="OB16" s="2"/>
      <c r="ON16" s="2"/>
      <c r="OR16" s="4"/>
      <c r="OT16" s="4"/>
      <c r="PD16" s="2"/>
      <c r="PH16" s="2"/>
      <c r="PQ16" s="2"/>
      <c r="PX16" s="2"/>
      <c r="PZ16" s="2"/>
      <c r="QF16" s="4"/>
      <c r="QH16" s="4"/>
      <c r="QX16" s="3"/>
      <c r="QZ16" s="2"/>
      <c r="RA16" s="2"/>
      <c r="RN16" s="4"/>
      <c r="RO16" s="4"/>
      <c r="RR16" s="2"/>
      <c r="RT16" s="2"/>
      <c r="RU16" s="2"/>
      <c r="SC16" s="4"/>
      <c r="SN16" s="2"/>
      <c r="SQ16" s="4"/>
      <c r="SS16" s="4"/>
      <c r="TG16" s="2"/>
      <c r="TH16" s="2"/>
      <c r="TI16" s="2"/>
      <c r="TU16" s="4"/>
      <c r="TW16" s="4"/>
    </row>
    <row r="17" spans="1:543">
      <c r="A17">
        <v>3651</v>
      </c>
      <c r="B17">
        <v>2692</v>
      </c>
      <c r="C17">
        <v>6560614289</v>
      </c>
      <c r="D17" t="s">
        <v>134</v>
      </c>
      <c r="E17" t="s">
        <v>135</v>
      </c>
      <c r="F17" t="s">
        <v>136</v>
      </c>
      <c r="G17" s="2">
        <v>22432</v>
      </c>
      <c r="H17" t="s">
        <v>43</v>
      </c>
      <c r="I17" t="s">
        <v>137</v>
      </c>
      <c r="J17" t="s">
        <v>61</v>
      </c>
      <c r="K17" t="s">
        <v>138</v>
      </c>
      <c r="L17" t="s">
        <v>34</v>
      </c>
      <c r="M17" s="2">
        <v>32845</v>
      </c>
      <c r="N17" t="s">
        <v>139</v>
      </c>
      <c r="O17" s="2">
        <f>DATE(YEAR(G17) + P17, MONTH(G17), DAY(G17))</f>
        <v>47634</v>
      </c>
      <c r="P17">
        <v>69</v>
      </c>
      <c r="Q17" s="2"/>
      <c r="R17" t="s">
        <v>47</v>
      </c>
      <c r="S17" t="s">
        <v>102</v>
      </c>
      <c r="T17" s="2">
        <v>44104</v>
      </c>
      <c r="U17" t="s">
        <v>49</v>
      </c>
      <c r="V17" t="s">
        <v>39</v>
      </c>
      <c r="W17">
        <v>25</v>
      </c>
      <c r="X17" s="1">
        <v>78623</v>
      </c>
      <c r="Y17" s="1">
        <f t="shared" si="0"/>
        <v>19655.75</v>
      </c>
      <c r="Z17" s="1">
        <f>X17-Y17</f>
        <v>58967.25</v>
      </c>
      <c r="AA17" s="3">
        <v>994</v>
      </c>
      <c r="AK17" s="3"/>
      <c r="AM17" s="4"/>
      <c r="BA17" s="2"/>
      <c r="BB17" s="2"/>
      <c r="BD17" s="4"/>
      <c r="BF17" s="4"/>
      <c r="BM17" s="2"/>
      <c r="BO17" s="4"/>
      <c r="BQ17" s="4"/>
      <c r="CI17" s="2"/>
      <c r="CJ17" s="2"/>
      <c r="CN17" s="2"/>
      <c r="CQ17" s="2"/>
      <c r="CV17" s="4"/>
      <c r="CX17" s="4"/>
      <c r="DB17" s="2"/>
      <c r="DC17" s="2"/>
      <c r="DE17" s="2"/>
      <c r="DF17" s="2"/>
      <c r="DV17" s="2"/>
      <c r="DW17" s="2"/>
      <c r="EF17" s="4"/>
      <c r="EH17" s="4"/>
      <c r="ER17" s="2"/>
      <c r="ES17" s="2"/>
      <c r="EX17" s="4"/>
      <c r="EZ17" s="4"/>
      <c r="FQ17" s="4"/>
      <c r="FS17" s="4"/>
      <c r="GD17" s="3"/>
      <c r="GE17" s="2"/>
      <c r="GL17" s="4"/>
      <c r="GR17" s="2"/>
      <c r="GT17" s="3"/>
      <c r="GV17" s="2"/>
      <c r="GW17" s="3"/>
      <c r="HB17" s="3"/>
      <c r="HP17" s="2"/>
      <c r="HS17" s="4"/>
      <c r="HU17" s="4"/>
      <c r="II17" s="4"/>
      <c r="IK17" s="4"/>
      <c r="IS17" s="2"/>
      <c r="IT17" s="2"/>
      <c r="IV17" s="2"/>
      <c r="IW17" s="4"/>
      <c r="IY17" s="4"/>
      <c r="JK17" s="4"/>
      <c r="JM17" s="4"/>
      <c r="JZ17" s="2"/>
      <c r="KA17" s="3"/>
      <c r="KD17" s="4"/>
      <c r="KF17" s="4"/>
      <c r="KJ17" s="4"/>
      <c r="KT17" s="2"/>
      <c r="KU17" s="2"/>
      <c r="KW17" s="2"/>
      <c r="LC17" s="2"/>
      <c r="LF17" s="2"/>
      <c r="LK17" s="2"/>
      <c r="LT17" s="4"/>
      <c r="NB17" s="2"/>
      <c r="NC17" s="2"/>
      <c r="NJ17" s="2"/>
      <c r="NN17" s="2"/>
      <c r="NO17" s="2"/>
      <c r="NT17" s="4"/>
      <c r="NV17" s="4"/>
      <c r="OA17" s="2"/>
      <c r="OB17" s="2"/>
      <c r="ON17" s="2"/>
      <c r="OR17" s="4"/>
      <c r="OT17" s="4"/>
      <c r="PD17" s="2"/>
      <c r="PH17" s="2"/>
      <c r="PZ17" s="2"/>
      <c r="QF17" s="4"/>
      <c r="QH17" s="4"/>
      <c r="QZ17" s="2"/>
      <c r="RA17" s="2"/>
      <c r="RN17" s="4"/>
      <c r="RO17" s="4"/>
      <c r="RR17" s="2"/>
      <c r="RT17" s="2"/>
      <c r="SA17" s="4"/>
      <c r="SC17" s="4"/>
      <c r="SN17" s="2"/>
      <c r="SQ17" s="4"/>
      <c r="SS17" s="4"/>
      <c r="TG17" s="2"/>
      <c r="TH17" s="2"/>
      <c r="TI17" s="2"/>
      <c r="TU17" s="4"/>
      <c r="TW17" s="4"/>
    </row>
    <row r="18" spans="1:543">
      <c r="A18">
        <v>1353</v>
      </c>
      <c r="B18">
        <v>3965</v>
      </c>
      <c r="C18" s="3" t="s">
        <v>140</v>
      </c>
      <c r="D18" t="s">
        <v>67</v>
      </c>
      <c r="E18" t="s">
        <v>141</v>
      </c>
      <c r="F18" t="s">
        <v>142</v>
      </c>
      <c r="G18" s="2">
        <v>40424</v>
      </c>
      <c r="H18" t="s">
        <v>30</v>
      </c>
      <c r="I18" t="s">
        <v>143</v>
      </c>
      <c r="J18" t="s">
        <v>61</v>
      </c>
      <c r="K18" t="s">
        <v>144</v>
      </c>
      <c r="L18" t="s">
        <v>34</v>
      </c>
      <c r="M18" s="2">
        <v>45832</v>
      </c>
      <c r="N18" t="s">
        <v>145</v>
      </c>
      <c r="O18" s="2">
        <f>DATE(YEAR(G18) + P18, MONTH(G18), DAY(G18))</f>
        <v>62704</v>
      </c>
      <c r="P18">
        <v>61</v>
      </c>
      <c r="Q18" s="2"/>
      <c r="R18" t="s">
        <v>47</v>
      </c>
      <c r="S18" t="s">
        <v>37</v>
      </c>
      <c r="T18" s="2">
        <v>39551</v>
      </c>
      <c r="U18" t="s">
        <v>133</v>
      </c>
      <c r="V18" t="s">
        <v>66</v>
      </c>
      <c r="W18">
        <v>2</v>
      </c>
      <c r="X18" s="1">
        <v>93942</v>
      </c>
      <c r="Y18" s="1">
        <f t="shared" si="0"/>
        <v>23485.5</v>
      </c>
      <c r="Z18" s="1">
        <f t="shared" ref="Z18:Z25" si="3">X18-Y18</f>
        <v>70456.5</v>
      </c>
      <c r="AA18" s="3">
        <v>820</v>
      </c>
      <c r="AK18" s="3"/>
      <c r="AM18" s="4"/>
      <c r="AO18" s="4"/>
      <c r="BA18" s="2"/>
      <c r="BB18" s="2"/>
      <c r="BD18" s="4"/>
      <c r="BM18" s="2"/>
      <c r="BO18" s="4"/>
      <c r="BQ18" s="4"/>
      <c r="CI18" s="2"/>
      <c r="CJ18" s="2"/>
      <c r="CN18" s="2"/>
      <c r="CQ18" s="2"/>
      <c r="CV18" s="4"/>
      <c r="CX18" s="4"/>
      <c r="DB18" s="2"/>
      <c r="DC18" s="2"/>
      <c r="DE18" s="2"/>
      <c r="DF18" s="2"/>
      <c r="DV18" s="2"/>
      <c r="DW18" s="2"/>
      <c r="EF18" s="4"/>
      <c r="EH18" s="4"/>
      <c r="ER18" s="2"/>
      <c r="ES18" s="2"/>
      <c r="EX18" s="4"/>
      <c r="EZ18" s="4"/>
      <c r="FS18" s="4"/>
      <c r="GE18" s="2"/>
      <c r="GJ18" s="4"/>
      <c r="GR18" s="2"/>
      <c r="GS18" s="3"/>
      <c r="GU18" s="3"/>
      <c r="GV18" s="2"/>
      <c r="GX18" s="3"/>
      <c r="GY18" s="3"/>
      <c r="HB18" s="3"/>
      <c r="HP18" s="2"/>
      <c r="HS18" s="4"/>
      <c r="HU18" s="4"/>
      <c r="II18" s="4"/>
      <c r="IK18" s="4"/>
      <c r="IS18" s="2"/>
      <c r="IT18" s="2"/>
      <c r="IV18" s="2"/>
      <c r="IW18" s="4"/>
      <c r="JH18" s="2"/>
      <c r="JK18" s="4"/>
      <c r="JZ18" s="2"/>
      <c r="KC18" s="3"/>
      <c r="KD18" s="4"/>
      <c r="KJ18" s="4"/>
      <c r="KT18" s="2"/>
      <c r="KU18" s="2"/>
      <c r="KW18" s="2"/>
      <c r="LF18" s="2"/>
      <c r="LK18" s="2"/>
      <c r="LT18" s="4"/>
      <c r="LV18" s="4"/>
      <c r="MC18" s="3"/>
      <c r="ML18" s="3"/>
      <c r="NB18" s="2"/>
      <c r="NC18" s="2"/>
      <c r="NJ18" s="2"/>
      <c r="NM18" s="3"/>
      <c r="NN18" s="2"/>
      <c r="NT18" s="4"/>
      <c r="OB18" s="2"/>
      <c r="ON18" s="2"/>
      <c r="OR18" s="4"/>
      <c r="OT18" s="4"/>
      <c r="PD18" s="2"/>
      <c r="PG18" s="3"/>
      <c r="PH18" s="2"/>
      <c r="PX18" s="2"/>
      <c r="PZ18" s="2"/>
      <c r="QF18" s="4"/>
      <c r="QH18" s="4"/>
      <c r="QZ18" s="2"/>
      <c r="RA18" s="2"/>
      <c r="RN18" s="4"/>
      <c r="RO18" s="4"/>
      <c r="RR18" s="2"/>
      <c r="RT18" s="2"/>
      <c r="RU18" s="2"/>
      <c r="SA18" s="4"/>
      <c r="SC18" s="4"/>
      <c r="SN18" s="2"/>
      <c r="SQ18" s="4"/>
      <c r="SS18" s="4"/>
      <c r="TG18" s="2"/>
      <c r="TH18" s="2"/>
      <c r="TI18" s="2"/>
      <c r="TO18" s="3"/>
      <c r="TU18" s="4"/>
      <c r="TW18" s="4"/>
    </row>
    <row r="19" spans="1:543">
      <c r="A19">
        <v>3690</v>
      </c>
      <c r="B19">
        <v>9797</v>
      </c>
      <c r="C19">
        <v>9029350526</v>
      </c>
      <c r="D19" t="s">
        <v>50</v>
      </c>
      <c r="E19" t="s">
        <v>146</v>
      </c>
      <c r="F19" t="s">
        <v>147</v>
      </c>
      <c r="G19" s="2">
        <v>32835</v>
      </c>
      <c r="H19" t="s">
        <v>43</v>
      </c>
      <c r="I19" t="s">
        <v>148</v>
      </c>
      <c r="J19" t="s">
        <v>61</v>
      </c>
      <c r="K19" t="s">
        <v>149</v>
      </c>
      <c r="L19" t="s">
        <v>95</v>
      </c>
      <c r="M19" s="2">
        <v>38655</v>
      </c>
      <c r="N19" t="s">
        <v>150</v>
      </c>
      <c r="O19" s="2">
        <f>DATE(YEAR(G19) + P19, MONTH(G19), DAY(G19))</f>
        <v>58037</v>
      </c>
      <c r="P19">
        <v>69</v>
      </c>
      <c r="Q19" s="2"/>
      <c r="R19" t="s">
        <v>47</v>
      </c>
      <c r="S19" t="s">
        <v>102</v>
      </c>
      <c r="T19" t="s">
        <v>151</v>
      </c>
      <c r="U19" t="s">
        <v>49</v>
      </c>
      <c r="V19" t="s">
        <v>38</v>
      </c>
      <c r="W19">
        <v>18</v>
      </c>
      <c r="X19" s="1">
        <v>96601</v>
      </c>
      <c r="Y19" s="1">
        <f t="shared" si="0"/>
        <v>24150.25</v>
      </c>
      <c r="Z19" s="1">
        <f t="shared" si="3"/>
        <v>72450.75</v>
      </c>
      <c r="AA19" s="3">
        <v>458</v>
      </c>
      <c r="AK19" s="3"/>
      <c r="AM19" s="4"/>
      <c r="AO19" s="4"/>
      <c r="BA19" s="2"/>
      <c r="BB19" s="2"/>
      <c r="BD19" s="4"/>
      <c r="BM19" s="2"/>
      <c r="BO19" s="4"/>
      <c r="BQ19" s="4"/>
      <c r="CJ19" s="2"/>
      <c r="CK19" s="3"/>
      <c r="CN19" s="2"/>
      <c r="CQ19" s="2"/>
      <c r="CV19" s="4"/>
      <c r="CX19" s="4"/>
      <c r="DB19" s="2"/>
      <c r="DC19" s="2"/>
      <c r="DE19" s="2"/>
      <c r="DF19" s="2"/>
      <c r="DV19" s="2"/>
      <c r="DW19" s="2"/>
      <c r="EC19" s="3"/>
      <c r="EH19" s="4"/>
      <c r="ER19" s="2"/>
      <c r="ES19" s="2"/>
      <c r="EU19" s="3"/>
      <c r="EZ19" s="4"/>
      <c r="FQ19" s="4"/>
      <c r="FS19" s="4"/>
      <c r="GE19" s="2"/>
      <c r="GJ19" s="4"/>
      <c r="GL19" s="4"/>
      <c r="GT19" s="3"/>
      <c r="GU19" s="3"/>
      <c r="GV19" s="2"/>
      <c r="GX19" s="3"/>
      <c r="GY19" s="3"/>
      <c r="HB19" s="3"/>
      <c r="HS19" s="4"/>
      <c r="HU19" s="4"/>
      <c r="II19" s="4"/>
      <c r="IK19" s="4"/>
      <c r="IS19" s="2"/>
      <c r="IT19" s="2"/>
      <c r="IV19" s="2"/>
      <c r="IW19" s="4"/>
      <c r="IY19" s="4"/>
      <c r="JH19" s="2"/>
      <c r="JK19" s="4"/>
      <c r="JM19" s="4"/>
      <c r="KD19" s="4"/>
      <c r="KF19" s="4"/>
      <c r="KJ19" s="4"/>
      <c r="KT19" s="2"/>
      <c r="KU19" s="2"/>
      <c r="KW19" s="2"/>
      <c r="LC19" s="2"/>
      <c r="LF19" s="2"/>
      <c r="LK19" s="2"/>
      <c r="LT19" s="4"/>
      <c r="LV19" s="4"/>
      <c r="ME19" s="3"/>
      <c r="NB19" s="2"/>
      <c r="NC19" s="2"/>
      <c r="NJ19" s="2"/>
      <c r="NN19" s="2"/>
      <c r="NO19" s="2"/>
      <c r="NT19" s="4"/>
      <c r="NV19" s="4"/>
      <c r="OA19" s="2"/>
      <c r="OB19" s="2"/>
      <c r="OR19" s="4"/>
      <c r="OT19" s="4"/>
      <c r="PD19" s="2"/>
      <c r="PH19" s="2"/>
      <c r="PQ19" s="2"/>
      <c r="PX19" s="2"/>
      <c r="PZ19" s="2"/>
      <c r="QF19" s="4"/>
      <c r="QH19" s="4"/>
      <c r="QZ19" s="2"/>
      <c r="RA19" s="2"/>
      <c r="RN19" s="4"/>
      <c r="RO19" s="4"/>
      <c r="RR19" s="2"/>
      <c r="RT19" s="2"/>
      <c r="RU19" s="2"/>
      <c r="SA19" s="4"/>
      <c r="SC19" s="4"/>
      <c r="SM19" s="3"/>
      <c r="SN19" s="2"/>
      <c r="SQ19" s="4"/>
      <c r="SS19" s="4"/>
      <c r="TG19" s="2"/>
      <c r="TH19" s="2"/>
      <c r="TI19" s="2"/>
      <c r="TU19" s="4"/>
      <c r="TW19" s="4"/>
    </row>
    <row r="20" spans="1:543">
      <c r="A20">
        <v>7955</v>
      </c>
      <c r="B20">
        <v>204</v>
      </c>
      <c r="C20">
        <v>6015044884</v>
      </c>
      <c r="D20" t="s">
        <v>110</v>
      </c>
      <c r="E20" t="s">
        <v>152</v>
      </c>
      <c r="F20" t="s">
        <v>153</v>
      </c>
      <c r="G20" s="2">
        <v>40444</v>
      </c>
      <c r="H20" t="s">
        <v>30</v>
      </c>
      <c r="I20" t="s">
        <v>44</v>
      </c>
      <c r="J20" t="s">
        <v>32</v>
      </c>
      <c r="K20" t="s">
        <v>154</v>
      </c>
      <c r="L20" t="s">
        <v>77</v>
      </c>
      <c r="M20" s="2"/>
      <c r="N20" t="s">
        <v>155</v>
      </c>
      <c r="O20" s="2">
        <f>DATE(YEAR(G20) + P20, MONTH(G20), DAY(G20))</f>
        <v>63820</v>
      </c>
      <c r="P20">
        <v>64</v>
      </c>
      <c r="Q20" s="2"/>
      <c r="R20" t="s">
        <v>47</v>
      </c>
      <c r="S20" t="s">
        <v>64</v>
      </c>
      <c r="T20" s="2">
        <v>43957</v>
      </c>
      <c r="U20" t="s">
        <v>65</v>
      </c>
      <c r="V20" t="s">
        <v>39</v>
      </c>
      <c r="W20">
        <v>8</v>
      </c>
      <c r="X20" s="1">
        <v>15850</v>
      </c>
      <c r="Y20" s="1">
        <f t="shared" si="0"/>
        <v>3962.5</v>
      </c>
      <c r="Z20" s="1">
        <f t="shared" si="3"/>
        <v>11887.5</v>
      </c>
      <c r="AA20" s="3">
        <v>312</v>
      </c>
      <c r="AK20" s="3"/>
      <c r="AM20" s="4"/>
      <c r="AO20" s="4"/>
      <c r="BA20" s="2"/>
      <c r="BB20" s="2"/>
      <c r="BD20" s="4"/>
      <c r="BF20" s="4"/>
      <c r="BM20" s="2"/>
      <c r="BO20" s="4"/>
      <c r="BQ20" s="4"/>
      <c r="CI20" s="2"/>
      <c r="CJ20" s="2"/>
      <c r="CN20" s="2"/>
      <c r="CQ20" s="2"/>
      <c r="CV20" s="4"/>
      <c r="DB20" s="2"/>
      <c r="DC20" s="2"/>
      <c r="DE20" s="2"/>
      <c r="DF20" s="2"/>
      <c r="DV20" s="2"/>
      <c r="DW20" s="2"/>
      <c r="EF20" s="4"/>
      <c r="EH20" s="4"/>
      <c r="ER20" s="2"/>
      <c r="ES20" s="2"/>
      <c r="EX20" s="4"/>
      <c r="EZ20" s="4"/>
      <c r="FQ20" s="4"/>
      <c r="FS20" s="4"/>
      <c r="GE20" s="2"/>
      <c r="GJ20" s="4"/>
      <c r="GL20" s="4"/>
      <c r="GR20" s="2"/>
      <c r="GU20" s="3"/>
      <c r="GV20" s="2"/>
      <c r="GY20" s="3"/>
      <c r="HP20" s="2"/>
      <c r="HS20" s="4"/>
      <c r="HU20" s="4"/>
      <c r="IF20" s="3"/>
      <c r="II20" s="4"/>
      <c r="IK20" s="4"/>
      <c r="IS20" s="2"/>
      <c r="IT20" s="2"/>
      <c r="IV20" s="2"/>
      <c r="IW20" s="4"/>
      <c r="IY20" s="4"/>
      <c r="JH20" s="2"/>
      <c r="JK20" s="4"/>
      <c r="JM20" s="4"/>
      <c r="JZ20" s="2"/>
      <c r="KD20" s="4"/>
      <c r="KF20" s="4"/>
      <c r="KJ20" s="4"/>
      <c r="KT20" s="2"/>
      <c r="KU20" s="2"/>
      <c r="KW20" s="2"/>
      <c r="LC20" s="2"/>
      <c r="LF20" s="2"/>
      <c r="LK20" s="2"/>
      <c r="LM20" s="3"/>
      <c r="LT20" s="4"/>
      <c r="LV20" s="4"/>
      <c r="NB20" s="2"/>
      <c r="NH20" s="3"/>
      <c r="NJ20" s="2"/>
      <c r="NN20" s="2"/>
      <c r="NO20" s="2"/>
      <c r="NT20" s="4"/>
      <c r="NV20" s="4"/>
      <c r="OA20" s="2"/>
      <c r="OB20" s="2"/>
      <c r="ON20" s="2"/>
      <c r="OR20" s="4"/>
      <c r="OT20" s="4"/>
      <c r="PD20" s="2"/>
      <c r="PH20" s="2"/>
      <c r="PQ20" s="2"/>
      <c r="PX20" s="2"/>
      <c r="PZ20" s="2"/>
      <c r="QF20" s="4"/>
      <c r="QH20" s="4"/>
      <c r="QZ20" s="2"/>
      <c r="RA20" s="2"/>
      <c r="RN20" s="4"/>
      <c r="RO20" s="4"/>
      <c r="RR20" s="2"/>
      <c r="RT20" s="2"/>
      <c r="RU20" s="2"/>
      <c r="SA20" s="4"/>
      <c r="SC20" s="4"/>
      <c r="SN20" s="2"/>
      <c r="SQ20" s="4"/>
      <c r="SS20" s="4"/>
      <c r="TG20" s="2"/>
      <c r="TH20" s="2"/>
      <c r="TI20" s="2"/>
      <c r="TU20" s="4"/>
      <c r="TW20" s="4"/>
    </row>
    <row r="21" spans="1:543">
      <c r="A21">
        <v>6033</v>
      </c>
      <c r="B21">
        <v>1442</v>
      </c>
      <c r="C21">
        <v>8393397444</v>
      </c>
      <c r="D21" t="s">
        <v>156</v>
      </c>
      <c r="E21" t="s">
        <v>157</v>
      </c>
      <c r="F21" t="s">
        <v>158</v>
      </c>
      <c r="G21" s="2">
        <v>40398</v>
      </c>
      <c r="H21" t="s">
        <v>30</v>
      </c>
      <c r="I21" t="s">
        <v>148</v>
      </c>
      <c r="J21" t="s">
        <v>32</v>
      </c>
      <c r="K21" t="s">
        <v>159</v>
      </c>
      <c r="L21" t="s">
        <v>77</v>
      </c>
      <c r="M21" s="2"/>
      <c r="N21" t="s">
        <v>160</v>
      </c>
      <c r="O21" s="2">
        <f>DATE(YEAR(G21) + P21, MONTH(G21), DAY(G21))</f>
        <v>62313</v>
      </c>
      <c r="P21">
        <v>60</v>
      </c>
      <c r="Q21" s="2"/>
      <c r="R21" t="s">
        <v>47</v>
      </c>
      <c r="S21" t="s">
        <v>109</v>
      </c>
      <c r="T21" s="2">
        <v>26990</v>
      </c>
      <c r="U21" t="s">
        <v>38</v>
      </c>
      <c r="V21" t="s">
        <v>38</v>
      </c>
      <c r="W21">
        <v>4</v>
      </c>
      <c r="X21" s="1">
        <v>83448</v>
      </c>
      <c r="Y21" s="1">
        <f t="shared" si="0"/>
        <v>20862</v>
      </c>
      <c r="Z21" s="1">
        <f t="shared" si="3"/>
        <v>62586</v>
      </c>
      <c r="AA21" s="3">
        <v>55</v>
      </c>
      <c r="AB21" s="3"/>
      <c r="AK21" s="3"/>
      <c r="AM21" s="4"/>
      <c r="AO21" s="4"/>
      <c r="BA21" s="2"/>
      <c r="BB21" s="2"/>
      <c r="BD21" s="4"/>
      <c r="BF21" s="4"/>
      <c r="BM21" s="2"/>
      <c r="BO21" s="4"/>
      <c r="CG21" s="3"/>
      <c r="CI21" s="2"/>
      <c r="CJ21" s="2"/>
      <c r="CN21" s="2"/>
      <c r="CQ21" s="2"/>
      <c r="CV21" s="4"/>
      <c r="CX21" s="4"/>
      <c r="DB21" s="2"/>
      <c r="DC21" s="2"/>
      <c r="DE21" s="2"/>
      <c r="DF21" s="2"/>
      <c r="DV21" s="2"/>
      <c r="EF21" s="4"/>
      <c r="EH21" s="4"/>
      <c r="ER21" s="2"/>
      <c r="EX21" s="4"/>
      <c r="EZ21" s="4"/>
      <c r="FQ21" s="4"/>
      <c r="FS21" s="4"/>
      <c r="GJ21" s="4"/>
      <c r="GL21" s="4"/>
      <c r="GR21" s="2"/>
      <c r="GU21" s="3"/>
      <c r="GW21" s="3"/>
      <c r="GX21" s="3"/>
      <c r="GY21" s="3"/>
      <c r="HB21" s="3"/>
      <c r="HP21" s="2"/>
      <c r="HS21" s="4"/>
      <c r="HU21" s="4"/>
      <c r="II21" s="4"/>
      <c r="IK21" s="4"/>
      <c r="IS21" s="2"/>
      <c r="IT21" s="2"/>
      <c r="IV21" s="2"/>
      <c r="IW21" s="4"/>
      <c r="IY21" s="4"/>
      <c r="JH21" s="2"/>
      <c r="JK21" s="4"/>
      <c r="JM21" s="4"/>
      <c r="KD21" s="4"/>
      <c r="KF21" s="4"/>
      <c r="KJ21" s="4"/>
      <c r="KT21" s="2"/>
      <c r="KU21" s="2"/>
      <c r="KW21" s="2"/>
      <c r="LC21" s="2"/>
      <c r="LF21" s="2"/>
      <c r="LK21" s="2"/>
      <c r="LT21" s="4"/>
      <c r="LV21" s="4"/>
      <c r="NB21" s="2"/>
      <c r="NC21" s="2"/>
      <c r="NG21" s="5"/>
      <c r="NJ21" s="2"/>
      <c r="NO21" s="2"/>
      <c r="NT21" s="4"/>
      <c r="NV21" s="4"/>
      <c r="OA21" s="2"/>
      <c r="OB21" s="2"/>
      <c r="OR21" s="4"/>
      <c r="OT21" s="4"/>
      <c r="PH21" s="2"/>
      <c r="PQ21" s="2"/>
      <c r="PX21" s="2"/>
      <c r="PZ21" s="2"/>
      <c r="QF21" s="4"/>
      <c r="QH21" s="4"/>
      <c r="QZ21" s="2"/>
      <c r="RA21" s="2"/>
      <c r="RN21" s="4"/>
      <c r="RR21" s="2"/>
      <c r="RT21" s="2"/>
      <c r="RU21" s="2"/>
      <c r="SA21" s="4"/>
      <c r="SC21" s="4"/>
      <c r="SN21" s="2"/>
      <c r="SQ21" s="4"/>
      <c r="SS21" s="4"/>
      <c r="TG21" s="2"/>
      <c r="TH21" s="2"/>
      <c r="TU21" s="4"/>
      <c r="TW21" s="4"/>
    </row>
    <row r="22" spans="1:543">
      <c r="A22">
        <v>8138</v>
      </c>
      <c r="B22">
        <v>4809</v>
      </c>
      <c r="C22">
        <v>5415859917</v>
      </c>
      <c r="D22" t="s">
        <v>161</v>
      </c>
      <c r="E22" t="s">
        <v>162</v>
      </c>
      <c r="F22" t="s">
        <v>163</v>
      </c>
      <c r="G22" s="2">
        <v>37301</v>
      </c>
      <c r="H22" t="s">
        <v>30</v>
      </c>
      <c r="I22" t="s">
        <v>87</v>
      </c>
      <c r="J22" t="s">
        <v>32</v>
      </c>
      <c r="K22" t="s">
        <v>164</v>
      </c>
      <c r="L22" t="s">
        <v>95</v>
      </c>
      <c r="M22" s="2"/>
      <c r="N22" t="s">
        <v>165</v>
      </c>
      <c r="O22" s="2">
        <f>DATE(YEAR(G22) + P22, MONTH(G22), DAY(G22))</f>
        <v>59216</v>
      </c>
      <c r="P22">
        <v>60</v>
      </c>
      <c r="Q22" s="2"/>
      <c r="R22" t="s">
        <v>47</v>
      </c>
      <c r="S22" t="s">
        <v>102</v>
      </c>
      <c r="T22" s="2">
        <v>42855</v>
      </c>
      <c r="U22" t="s">
        <v>103</v>
      </c>
      <c r="V22" t="s">
        <v>66</v>
      </c>
      <c r="W22">
        <v>3</v>
      </c>
      <c r="X22" s="1">
        <v>4049</v>
      </c>
      <c r="Y22" s="1">
        <f t="shared" si="0"/>
        <v>1012.25</v>
      </c>
      <c r="Z22" s="1">
        <f t="shared" si="3"/>
        <v>3036.75</v>
      </c>
      <c r="AA22" s="3">
        <v>76</v>
      </c>
      <c r="AJ22" s="3"/>
      <c r="AK22" s="3"/>
      <c r="AM22" s="4"/>
      <c r="AO22" s="4"/>
      <c r="BA22" s="2"/>
      <c r="BB22" s="2"/>
      <c r="BD22" s="4"/>
      <c r="BF22" s="4"/>
      <c r="BM22" s="2"/>
      <c r="BO22" s="4"/>
      <c r="BQ22" s="4"/>
      <c r="CJ22" s="2"/>
      <c r="CN22" s="2"/>
      <c r="CP22" s="3"/>
      <c r="CQ22" s="2"/>
      <c r="CV22" s="4"/>
      <c r="CX22" s="4"/>
      <c r="DB22" s="2"/>
      <c r="DC22" s="2"/>
      <c r="DE22" s="2"/>
      <c r="DF22" s="2"/>
      <c r="DV22" s="2"/>
      <c r="EF22" s="4"/>
      <c r="EH22" s="4"/>
      <c r="ER22" s="2"/>
      <c r="ES22" s="2"/>
      <c r="EZ22" s="4"/>
      <c r="FS22" s="4"/>
      <c r="GE22" s="2"/>
      <c r="GL22" s="4"/>
      <c r="GR22" s="2"/>
      <c r="GS22" s="3"/>
      <c r="GT22" s="3"/>
      <c r="GV22" s="2"/>
      <c r="GW22" s="3"/>
      <c r="HB22" s="3"/>
      <c r="HP22" s="2"/>
      <c r="HS22" s="4"/>
      <c r="II22" s="4"/>
      <c r="IK22" s="4"/>
      <c r="IS22" s="2"/>
      <c r="IT22" s="2"/>
      <c r="IV22" s="2"/>
      <c r="IW22" s="4"/>
      <c r="IY22" s="4"/>
      <c r="JH22" s="2"/>
      <c r="JK22" s="4"/>
      <c r="JM22" s="4"/>
      <c r="JZ22" s="2"/>
      <c r="KD22" s="4"/>
      <c r="KF22" s="4"/>
      <c r="KI22" s="3"/>
      <c r="KJ22" s="4"/>
      <c r="KT22" s="2"/>
      <c r="KU22" s="2"/>
      <c r="KW22" s="2"/>
      <c r="LC22" s="2"/>
      <c r="LF22" s="2"/>
      <c r="LK22" s="2"/>
      <c r="LT22" s="4"/>
      <c r="LV22" s="4"/>
      <c r="NB22" s="2"/>
      <c r="NC22" s="2"/>
      <c r="NJ22" s="2"/>
      <c r="NM22" s="3"/>
      <c r="NN22" s="2"/>
      <c r="NO22" s="2"/>
      <c r="NT22" s="4"/>
      <c r="NV22" s="4"/>
      <c r="OA22" s="2"/>
      <c r="OB22" s="2"/>
      <c r="ON22" s="2"/>
      <c r="OR22" s="4"/>
      <c r="OT22" s="4"/>
      <c r="PD22" s="2"/>
      <c r="PH22" s="2"/>
      <c r="PQ22" s="2"/>
      <c r="PX22" s="2"/>
      <c r="PZ22" s="2"/>
      <c r="QF22" s="4"/>
      <c r="QH22" s="4"/>
      <c r="QZ22" s="2"/>
      <c r="RA22" s="2"/>
      <c r="RN22" s="4"/>
      <c r="RO22" s="4"/>
      <c r="RR22" s="2"/>
      <c r="RT22" s="2"/>
      <c r="RU22" s="2"/>
      <c r="SA22" s="4"/>
      <c r="SC22" s="4"/>
      <c r="SN22" s="2"/>
      <c r="SQ22" s="4"/>
      <c r="SS22" s="4"/>
      <c r="TG22" s="2"/>
      <c r="TH22" s="2"/>
      <c r="TI22" s="2"/>
      <c r="TU22" s="4"/>
      <c r="TW22" s="4"/>
    </row>
    <row r="23" spans="1:543">
      <c r="A23">
        <v>8813</v>
      </c>
      <c r="B23">
        <v>7446</v>
      </c>
      <c r="C23">
        <v>1549660992</v>
      </c>
      <c r="D23" t="s">
        <v>166</v>
      </c>
      <c r="E23" t="s">
        <v>167</v>
      </c>
      <c r="F23" t="s">
        <v>168</v>
      </c>
      <c r="G23" s="2">
        <v>46333</v>
      </c>
      <c r="H23" t="s">
        <v>43</v>
      </c>
      <c r="I23" t="s">
        <v>169</v>
      </c>
      <c r="J23" t="s">
        <v>32</v>
      </c>
      <c r="K23" t="s">
        <v>170</v>
      </c>
      <c r="L23" t="s">
        <v>95</v>
      </c>
      <c r="M23" s="2"/>
      <c r="N23" t="s">
        <v>171</v>
      </c>
      <c r="O23" s="2">
        <f>DATE(YEAR(G23) + P23, MONTH(G23), DAY(G23))</f>
        <v>71535</v>
      </c>
      <c r="P23">
        <v>69</v>
      </c>
      <c r="Q23" s="2"/>
      <c r="R23" t="s">
        <v>47</v>
      </c>
      <c r="S23" t="s">
        <v>64</v>
      </c>
      <c r="T23" s="2">
        <v>45988</v>
      </c>
      <c r="U23" t="s">
        <v>49</v>
      </c>
      <c r="V23" t="s">
        <v>66</v>
      </c>
      <c r="W23">
        <v>9</v>
      </c>
      <c r="X23" s="1">
        <v>96445</v>
      </c>
      <c r="Y23" s="1">
        <f t="shared" si="0"/>
        <v>24111.25</v>
      </c>
      <c r="Z23" s="1">
        <f t="shared" si="3"/>
        <v>72333.75</v>
      </c>
      <c r="AA23" s="3">
        <v>255</v>
      </c>
      <c r="AK23" s="3"/>
      <c r="AM23" s="4"/>
      <c r="AO23" s="4"/>
      <c r="BA23" s="2"/>
      <c r="BB23" s="2"/>
      <c r="BD23" s="4"/>
      <c r="BF23" s="4"/>
      <c r="BM23" s="2"/>
      <c r="BO23" s="4"/>
      <c r="BQ23" s="4"/>
      <c r="CI23" s="2"/>
      <c r="CJ23" s="2"/>
      <c r="CN23" s="2"/>
      <c r="CQ23" s="2"/>
      <c r="CV23" s="4"/>
      <c r="CX23" s="4"/>
      <c r="CZ23" s="3"/>
      <c r="DB23" s="2"/>
      <c r="DC23" s="2"/>
      <c r="DE23" s="2"/>
      <c r="DF23" s="2"/>
      <c r="DV23" s="2"/>
      <c r="DW23" s="2"/>
      <c r="DX23" s="3"/>
      <c r="DY23" s="3"/>
      <c r="EC23" s="2"/>
      <c r="EF23" s="4"/>
      <c r="EH23" s="4"/>
      <c r="ER23" s="2"/>
      <c r="ES23" s="2"/>
      <c r="EX23" s="4"/>
      <c r="EZ23" s="4"/>
      <c r="FQ23" s="4"/>
      <c r="GE23" s="2"/>
      <c r="GJ23" s="4"/>
      <c r="GL23" s="4"/>
      <c r="GR23" s="2"/>
      <c r="GS23" s="3"/>
      <c r="GT23" s="3"/>
      <c r="GV23" s="2"/>
      <c r="GX23" s="3"/>
      <c r="HB23" s="3"/>
      <c r="HP23" s="2"/>
      <c r="HS23" s="4"/>
      <c r="HU23" s="4"/>
      <c r="II23" s="4"/>
      <c r="IK23" s="4"/>
      <c r="IS23" s="2"/>
      <c r="IT23" s="2"/>
      <c r="IV23" s="2"/>
      <c r="IW23" s="4"/>
      <c r="IY23" s="4"/>
      <c r="JH23" s="2"/>
      <c r="JK23" s="4"/>
      <c r="JM23" s="4"/>
      <c r="JZ23" s="2"/>
      <c r="KD23" s="4"/>
      <c r="KF23" s="4"/>
      <c r="KJ23" s="4"/>
      <c r="KU23" s="2"/>
      <c r="KW23" s="2"/>
      <c r="LC23" s="2"/>
      <c r="LF23" s="2"/>
      <c r="LK23" s="2"/>
      <c r="LM23" s="3"/>
      <c r="LT23" s="4"/>
      <c r="LV23" s="4"/>
      <c r="LZ23" s="3"/>
      <c r="MC23" s="3"/>
      <c r="NB23" s="2"/>
      <c r="NC23" s="2"/>
      <c r="NJ23" s="2"/>
      <c r="NN23" s="2"/>
      <c r="NO23" s="2"/>
      <c r="NP23" s="3"/>
      <c r="NT23" s="4"/>
      <c r="NV23" s="4"/>
      <c r="OA23" s="2"/>
      <c r="OB23" s="2"/>
      <c r="OK23" s="3"/>
      <c r="OR23" s="4"/>
      <c r="OT23" s="4"/>
      <c r="PD23" s="2"/>
      <c r="PH23" s="2"/>
      <c r="PQ23" s="2"/>
      <c r="PX23" s="2"/>
      <c r="QF23" s="4"/>
      <c r="QH23" s="4"/>
      <c r="QZ23" s="2"/>
      <c r="RA23" s="2"/>
      <c r="RM23" s="3"/>
      <c r="RN23" s="4"/>
      <c r="RO23" s="4"/>
      <c r="RR23" s="2"/>
      <c r="RT23" s="2"/>
      <c r="RU23" s="2"/>
      <c r="SA23" s="4"/>
      <c r="SC23" s="4"/>
      <c r="SN23" s="2"/>
      <c r="SQ23" s="4"/>
      <c r="SS23" s="4"/>
      <c r="TG23" s="2"/>
      <c r="TH23" s="2"/>
      <c r="TU23" s="4"/>
    </row>
    <row r="24" spans="1:543">
      <c r="A24">
        <v>7977</v>
      </c>
      <c r="B24">
        <v>4330</v>
      </c>
      <c r="C24">
        <v>6568403489</v>
      </c>
      <c r="D24" t="s">
        <v>172</v>
      </c>
      <c r="E24" t="s">
        <v>173</v>
      </c>
      <c r="F24" t="s">
        <v>174</v>
      </c>
      <c r="G24" s="2">
        <v>27304</v>
      </c>
      <c r="H24" t="s">
        <v>30</v>
      </c>
      <c r="I24" t="s">
        <v>75</v>
      </c>
      <c r="J24" t="s">
        <v>32</v>
      </c>
      <c r="K24" t="s">
        <v>175</v>
      </c>
      <c r="L24" t="s">
        <v>77</v>
      </c>
      <c r="M24" s="2"/>
      <c r="N24" t="s">
        <v>176</v>
      </c>
      <c r="O24" s="2">
        <f>DATE(YEAR(G24) + P24, MONTH(G24), DAY(G24))</f>
        <v>49950</v>
      </c>
      <c r="P24">
        <v>62</v>
      </c>
      <c r="Q24" s="2"/>
      <c r="R24" t="s">
        <v>36</v>
      </c>
      <c r="S24" t="s">
        <v>64</v>
      </c>
      <c r="T24" s="2">
        <v>44742</v>
      </c>
      <c r="U24" t="s">
        <v>133</v>
      </c>
      <c r="V24" t="s">
        <v>38</v>
      </c>
      <c r="W24">
        <v>14</v>
      </c>
      <c r="X24" s="1">
        <v>1122</v>
      </c>
      <c r="Y24" s="1">
        <f t="shared" si="0"/>
        <v>280.5</v>
      </c>
      <c r="Z24" s="1">
        <f t="shared" si="3"/>
        <v>841.5</v>
      </c>
      <c r="AA24" s="3">
        <f>631+897</f>
        <v>1528</v>
      </c>
      <c r="AK24" s="3"/>
      <c r="AM24" s="4"/>
      <c r="AO24" s="4"/>
      <c r="BB24" s="2"/>
      <c r="BD24" s="4"/>
      <c r="BF24" s="4"/>
      <c r="BM24" s="2"/>
      <c r="BO24" s="4"/>
      <c r="BQ24" s="4"/>
      <c r="CI24" s="2"/>
      <c r="CJ24" s="2"/>
      <c r="CN24" s="2"/>
      <c r="CQ24" s="2"/>
      <c r="CZ24" s="3"/>
      <c r="DB24" s="2"/>
      <c r="DC24" s="2"/>
      <c r="DE24" s="2"/>
      <c r="DF24" s="2"/>
      <c r="DW24" s="2"/>
      <c r="EF24" s="4"/>
      <c r="EH24" s="4"/>
      <c r="ER24" s="2"/>
      <c r="EU24" s="3"/>
      <c r="EX24" s="4"/>
      <c r="EZ24" s="4"/>
      <c r="FQ24" s="4"/>
      <c r="FS24" s="4"/>
      <c r="GE24" s="2"/>
      <c r="GJ24" s="4"/>
      <c r="GL24" s="4"/>
      <c r="GR24" s="2"/>
      <c r="GS24" s="3"/>
      <c r="GU24" s="3"/>
      <c r="GV24" s="2"/>
      <c r="GW24" s="3"/>
      <c r="HB24" s="3"/>
      <c r="HN24" s="3"/>
      <c r="HP24" s="2"/>
      <c r="HQ24" s="3"/>
      <c r="HS24" s="4"/>
      <c r="II24" s="4"/>
      <c r="IK24" s="4"/>
      <c r="IS24" s="2"/>
      <c r="IT24" s="2"/>
      <c r="IV24" s="2"/>
      <c r="IW24" s="4"/>
      <c r="IY24" s="4"/>
      <c r="JH24" s="2"/>
      <c r="JK24" s="4"/>
      <c r="JM24" s="4"/>
      <c r="KD24" s="4"/>
      <c r="KF24" s="4"/>
      <c r="KJ24" s="4"/>
      <c r="KT24" s="2"/>
      <c r="KU24" s="2"/>
      <c r="KW24" s="2"/>
      <c r="LC24" s="2"/>
      <c r="LF24" s="2"/>
      <c r="LK24" s="2"/>
      <c r="LT24" s="4"/>
      <c r="LV24" s="4"/>
      <c r="NB24" s="2"/>
      <c r="NC24" s="2"/>
      <c r="NJ24" s="2"/>
      <c r="NN24" s="2"/>
      <c r="NO24" s="2"/>
      <c r="NV24" s="4"/>
      <c r="OA24" s="2"/>
      <c r="OB24" s="2"/>
      <c r="ON24" s="2"/>
      <c r="OO24" s="3"/>
      <c r="OR24" s="4"/>
      <c r="OT24" s="4"/>
      <c r="PD24" s="2"/>
      <c r="PQ24" s="2"/>
      <c r="PX24" s="2"/>
      <c r="PZ24" s="2"/>
      <c r="QF24" s="4"/>
      <c r="QH24" s="4"/>
      <c r="QZ24" s="2"/>
      <c r="RN24" s="4"/>
      <c r="RR24" s="2"/>
      <c r="RT24" s="2"/>
      <c r="SA24" s="4"/>
      <c r="SC24" s="4"/>
      <c r="SN24" s="2"/>
      <c r="SQ24" s="4"/>
      <c r="SS24" s="4"/>
      <c r="TG24" s="2"/>
      <c r="TH24" s="2"/>
      <c r="TI24" s="2"/>
      <c r="TU24" s="4"/>
      <c r="TW24" s="4"/>
    </row>
    <row r="25" spans="1:543">
      <c r="A25">
        <v>7137</v>
      </c>
      <c r="B25">
        <v>3424</v>
      </c>
      <c r="C25">
        <v>7194225623</v>
      </c>
      <c r="D25" t="s">
        <v>110</v>
      </c>
      <c r="E25" t="s">
        <v>177</v>
      </c>
      <c r="F25" t="s">
        <v>178</v>
      </c>
      <c r="G25" s="2">
        <v>40413</v>
      </c>
      <c r="H25" t="s">
        <v>30</v>
      </c>
      <c r="I25" t="s">
        <v>137</v>
      </c>
      <c r="J25" t="s">
        <v>32</v>
      </c>
      <c r="K25" t="s">
        <v>179</v>
      </c>
      <c r="L25" t="s">
        <v>77</v>
      </c>
      <c r="M25" s="2"/>
      <c r="N25" t="s">
        <v>180</v>
      </c>
      <c r="O25" s="2">
        <f>DATE(YEAR(G25) + P25, MONTH(G25), DAY(G25))</f>
        <v>63424</v>
      </c>
      <c r="P25">
        <v>63</v>
      </c>
      <c r="Q25" s="2">
        <v>45046</v>
      </c>
      <c r="R25" t="s">
        <v>36</v>
      </c>
      <c r="S25" t="s">
        <v>181</v>
      </c>
      <c r="T25" s="2">
        <v>44136</v>
      </c>
      <c r="U25" t="s">
        <v>103</v>
      </c>
      <c r="V25" t="s">
        <v>56</v>
      </c>
      <c r="W25">
        <v>22</v>
      </c>
      <c r="X25" s="1">
        <v>96121</v>
      </c>
      <c r="Y25" s="1">
        <f t="shared" si="0"/>
        <v>24030.25</v>
      </c>
      <c r="Z25" s="1">
        <f t="shared" si="3"/>
        <v>72090.75</v>
      </c>
      <c r="AA25" s="3">
        <v>758</v>
      </c>
      <c r="AK25" s="3"/>
      <c r="AM25" s="4"/>
      <c r="AO25" s="4"/>
      <c r="BA25" s="2"/>
      <c r="BB25" s="2"/>
      <c r="BD25" s="4"/>
      <c r="BF25" s="4"/>
      <c r="BM25" s="2"/>
      <c r="BO25" s="4"/>
      <c r="BQ25" s="4"/>
      <c r="CI25" s="2"/>
      <c r="CJ25" s="2"/>
      <c r="CN25" s="2"/>
      <c r="CQ25" s="2"/>
      <c r="CV25" s="4"/>
      <c r="CX25" s="4"/>
      <c r="DB25" s="2"/>
      <c r="DC25" s="2"/>
      <c r="DE25" s="2"/>
      <c r="DF25" s="2"/>
      <c r="DV25" s="2"/>
      <c r="DW25" s="2"/>
      <c r="EF25" s="4"/>
      <c r="EH25" s="4"/>
      <c r="ER25" s="2"/>
      <c r="ES25" s="2"/>
      <c r="EX25" s="4"/>
      <c r="EZ25" s="4"/>
      <c r="FQ25" s="4"/>
      <c r="FS25" s="4"/>
      <c r="GE25" s="2"/>
      <c r="GJ25" s="4"/>
      <c r="GL25" s="4"/>
      <c r="GR25" s="2"/>
      <c r="GT25" s="3"/>
      <c r="GW25" s="3"/>
      <c r="GX25" s="3"/>
      <c r="GY25" s="3"/>
      <c r="HB25" s="3"/>
      <c r="HP25" s="2"/>
      <c r="HS25" s="4"/>
      <c r="HU25" s="4"/>
      <c r="II25" s="4"/>
      <c r="IK25" s="4"/>
      <c r="IS25" s="2"/>
      <c r="IT25" s="2"/>
      <c r="IW25" s="4"/>
      <c r="IY25" s="4"/>
      <c r="JH25" s="2"/>
      <c r="JK25" s="4"/>
      <c r="JM25" s="4"/>
      <c r="JZ25" s="2"/>
      <c r="KD25" s="4"/>
      <c r="KF25" s="4"/>
      <c r="KJ25" s="4"/>
      <c r="KT25" s="2"/>
      <c r="KU25" s="2"/>
      <c r="LC25" s="2"/>
      <c r="LF25" s="2"/>
      <c r="LK25" s="2"/>
      <c r="LT25" s="4"/>
      <c r="LV25" s="4"/>
      <c r="NB25" s="2"/>
      <c r="NC25" s="2"/>
      <c r="NJ25" s="2"/>
      <c r="NO25" s="2"/>
      <c r="NT25" s="4"/>
      <c r="NV25" s="4"/>
      <c r="OA25" s="2"/>
      <c r="OB25" s="2"/>
      <c r="ON25" s="2"/>
      <c r="OR25" s="4"/>
      <c r="OT25" s="4"/>
      <c r="PD25" s="2"/>
      <c r="PH25" s="2"/>
      <c r="PP25" s="3"/>
      <c r="PQ25" s="2"/>
      <c r="PX25" s="2"/>
      <c r="PZ25" s="2"/>
      <c r="QF25" s="4"/>
      <c r="RA25" s="2"/>
      <c r="RN25" s="4"/>
      <c r="RR25" s="2"/>
      <c r="RT25" s="2"/>
      <c r="SA25" s="4"/>
      <c r="SC25" s="4"/>
      <c r="SN25" s="2"/>
      <c r="SQ25" s="4"/>
      <c r="SS25" s="4"/>
      <c r="TG25" s="2"/>
      <c r="TH25" s="2"/>
      <c r="TI25" s="2"/>
      <c r="TU25" s="4"/>
      <c r="TW25" s="4"/>
    </row>
    <row r="26" spans="1:543">
      <c r="A26">
        <v>1797</v>
      </c>
      <c r="B26">
        <v>768</v>
      </c>
      <c r="C26">
        <v>4108744293</v>
      </c>
      <c r="D26" t="s">
        <v>50</v>
      </c>
      <c r="E26" t="s">
        <v>182</v>
      </c>
      <c r="F26" t="s">
        <v>183</v>
      </c>
      <c r="G26" s="2">
        <v>40317</v>
      </c>
      <c r="H26" t="s">
        <v>30</v>
      </c>
      <c r="I26" t="s">
        <v>53</v>
      </c>
      <c r="J26" t="s">
        <v>32</v>
      </c>
      <c r="K26" t="s">
        <v>76</v>
      </c>
      <c r="L26" t="s">
        <v>34</v>
      </c>
      <c r="M26" s="2"/>
      <c r="N26" t="s">
        <v>184</v>
      </c>
      <c r="O26" s="2">
        <f>DATE(YEAR(G26) + P26, MONTH(G26), DAY(G26))</f>
        <v>62963</v>
      </c>
      <c r="P26">
        <v>62</v>
      </c>
      <c r="Q26" s="2">
        <v>45976</v>
      </c>
      <c r="R26" t="s">
        <v>36</v>
      </c>
      <c r="S26" t="s">
        <v>109</v>
      </c>
      <c r="T26" s="2">
        <v>35682</v>
      </c>
      <c r="U26" t="s">
        <v>103</v>
      </c>
      <c r="V26" t="s">
        <v>66</v>
      </c>
      <c r="W26">
        <v>28</v>
      </c>
      <c r="X26" s="1">
        <v>33060</v>
      </c>
      <c r="Y26" s="1">
        <f t="shared" si="0"/>
        <v>8265</v>
      </c>
      <c r="Z26" s="1">
        <f>26448+963</f>
        <v>27411</v>
      </c>
      <c r="AA26" s="3">
        <v>963</v>
      </c>
      <c r="AJ26" s="3"/>
      <c r="AK26" s="3"/>
      <c r="AM26" s="4"/>
      <c r="AO26" s="4"/>
      <c r="BA26" s="2"/>
      <c r="BB26" s="2"/>
      <c r="BD26" s="4"/>
      <c r="BF26" s="4"/>
      <c r="BM26" s="2"/>
      <c r="BO26" s="4"/>
      <c r="BQ26" s="4"/>
      <c r="CI26" s="2"/>
      <c r="CJ26" s="2"/>
      <c r="CN26" s="2"/>
      <c r="CV26" s="4"/>
      <c r="CX26" s="4"/>
      <c r="DB26" s="2"/>
      <c r="DE26" s="2"/>
      <c r="DF26" s="2"/>
      <c r="DV26" s="2"/>
      <c r="DW26" s="2"/>
      <c r="ER26" s="2"/>
      <c r="ES26" s="2"/>
      <c r="EX26" s="4"/>
      <c r="EZ26" s="4"/>
      <c r="FQ26" s="4"/>
      <c r="GE26" s="2"/>
      <c r="GJ26" s="4"/>
      <c r="GR26" s="2"/>
      <c r="GV26" s="2"/>
      <c r="GY26" s="3"/>
      <c r="HB26" s="3"/>
      <c r="HP26" s="2"/>
      <c r="HS26" s="4"/>
      <c r="HU26" s="4"/>
      <c r="II26" s="4"/>
      <c r="IK26" s="4"/>
      <c r="IS26" s="2"/>
      <c r="IT26" s="2"/>
      <c r="IV26" s="2"/>
      <c r="IW26" s="4"/>
      <c r="IY26" s="4"/>
      <c r="JH26" s="2"/>
      <c r="JK26" s="4"/>
      <c r="JM26" s="4"/>
      <c r="JZ26" s="2"/>
      <c r="KD26" s="4"/>
      <c r="KF26" s="4"/>
      <c r="KJ26" s="4"/>
      <c r="KT26" s="2"/>
      <c r="KU26" s="2"/>
      <c r="KW26" s="2"/>
      <c r="LC26" s="2"/>
      <c r="LF26" s="2"/>
      <c r="LH26" s="3"/>
      <c r="LK26" s="2"/>
      <c r="LT26" s="4"/>
      <c r="LV26" s="4"/>
      <c r="LZ26" s="3"/>
      <c r="ME26" s="3"/>
      <c r="MI26" s="3"/>
      <c r="NB26" s="2"/>
      <c r="NC26" s="2"/>
      <c r="NJ26" s="2"/>
      <c r="NN26" s="2"/>
      <c r="NO26" s="2"/>
      <c r="NT26" s="4"/>
      <c r="NV26" s="4"/>
      <c r="OA26" s="2"/>
      <c r="OK26" s="3"/>
      <c r="ON26" s="2"/>
      <c r="OR26" s="4"/>
      <c r="OT26" s="4"/>
      <c r="PD26" s="2"/>
      <c r="PH26" s="2"/>
      <c r="PI26" s="3"/>
      <c r="PQ26" s="2"/>
      <c r="PX26" s="2"/>
      <c r="PZ26" s="2"/>
      <c r="QF26" s="4"/>
      <c r="QH26" s="4"/>
      <c r="QZ26" s="2"/>
      <c r="RA26" s="2"/>
      <c r="RM26" s="3"/>
      <c r="RN26" s="4"/>
      <c r="RO26" s="4"/>
      <c r="RR26" s="2"/>
      <c r="RT26" s="2"/>
      <c r="RU26" s="2"/>
      <c r="SA26" s="4"/>
      <c r="SC26" s="4"/>
      <c r="SN26" s="2"/>
      <c r="SQ26" s="4"/>
      <c r="SS26" s="4"/>
      <c r="TG26" s="2"/>
      <c r="TH26" s="2"/>
      <c r="TI26" s="2"/>
      <c r="TU26" s="4"/>
      <c r="TW26" s="4"/>
    </row>
    <row r="27" spans="1:543">
      <c r="A27">
        <v>2819</v>
      </c>
      <c r="B27">
        <v>6333</v>
      </c>
      <c r="C27">
        <v>4526126960</v>
      </c>
      <c r="D27" t="s">
        <v>185</v>
      </c>
      <c r="E27" t="s">
        <v>186</v>
      </c>
      <c r="F27" t="s">
        <v>187</v>
      </c>
      <c r="G27" s="2">
        <v>40220</v>
      </c>
      <c r="H27" t="s">
        <v>30</v>
      </c>
      <c r="I27" t="s">
        <v>70</v>
      </c>
      <c r="J27" t="s">
        <v>32</v>
      </c>
      <c r="K27" t="s">
        <v>188</v>
      </c>
      <c r="L27" t="s">
        <v>95</v>
      </c>
      <c r="M27" s="2"/>
      <c r="N27" t="s">
        <v>189</v>
      </c>
      <c r="O27" s="2">
        <f>DATE(YEAR(G27) + P27, MONTH(G27), DAY(G27))</f>
        <v>63231</v>
      </c>
      <c r="P27">
        <v>63</v>
      </c>
      <c r="Q27" s="2"/>
      <c r="R27" t="s">
        <v>47</v>
      </c>
      <c r="S27" t="s">
        <v>109</v>
      </c>
      <c r="T27" s="2">
        <v>41850</v>
      </c>
      <c r="U27" t="s">
        <v>133</v>
      </c>
      <c r="V27" t="s">
        <v>56</v>
      </c>
      <c r="W27">
        <v>5</v>
      </c>
      <c r="X27" s="1">
        <v>82790</v>
      </c>
      <c r="Y27" s="1">
        <f t="shared" si="0"/>
        <v>20697.5</v>
      </c>
      <c r="Z27" s="1">
        <f>X27-Y27</f>
        <v>62092.5</v>
      </c>
      <c r="AA27" s="3">
        <v>813</v>
      </c>
      <c r="AK27" s="3"/>
      <c r="AM27" s="4"/>
      <c r="BA27" s="2"/>
      <c r="BB27" s="2"/>
      <c r="BD27" s="4"/>
      <c r="BF27" s="4"/>
      <c r="BM27" s="2"/>
      <c r="BO27" s="4"/>
      <c r="BQ27" s="4"/>
      <c r="CI27" s="2"/>
      <c r="CJ27" s="2"/>
      <c r="CN27" s="2"/>
      <c r="CQ27" s="2"/>
      <c r="CV27" s="4"/>
      <c r="CX27" s="4"/>
      <c r="DB27" s="2"/>
      <c r="DC27" s="2"/>
      <c r="DE27" s="2"/>
      <c r="DF27" s="2"/>
      <c r="DV27" s="2"/>
      <c r="DW27" s="2"/>
      <c r="EF27" s="4"/>
      <c r="EH27" s="4"/>
      <c r="ER27" s="2"/>
      <c r="ES27" s="2"/>
      <c r="EX27" s="4"/>
      <c r="EZ27" s="4"/>
      <c r="FQ27" s="4"/>
      <c r="FS27" s="4"/>
      <c r="GE27" s="2"/>
      <c r="GJ27" s="4"/>
      <c r="GL27" s="4"/>
      <c r="GV27" s="2"/>
      <c r="GW27" s="3"/>
      <c r="GY27" s="3"/>
      <c r="HB27" s="3"/>
      <c r="HO27" s="3"/>
      <c r="HS27" s="4"/>
      <c r="II27" s="4"/>
      <c r="IK27" s="4"/>
      <c r="IS27" s="2"/>
      <c r="IT27" s="2"/>
      <c r="IV27" s="2"/>
      <c r="IW27" s="4"/>
      <c r="JH27" s="2"/>
      <c r="JK27" s="4"/>
      <c r="JM27" s="4"/>
      <c r="JZ27" s="2"/>
      <c r="KD27" s="4"/>
      <c r="KF27" s="4"/>
      <c r="KJ27" s="4"/>
      <c r="KU27" s="2"/>
      <c r="KW27" s="2"/>
      <c r="LC27" s="2"/>
      <c r="LF27" s="2"/>
      <c r="LK27" s="2"/>
      <c r="LT27" s="4"/>
      <c r="LV27" s="4"/>
      <c r="NC27" s="2"/>
      <c r="NG27" s="5"/>
      <c r="NJ27" s="2"/>
      <c r="NN27" s="2"/>
      <c r="NO27" s="2"/>
      <c r="NP27" s="3"/>
      <c r="NV27" s="4"/>
      <c r="OA27" s="2"/>
      <c r="OB27" s="2"/>
      <c r="ON27" s="2"/>
      <c r="OR27" s="4"/>
      <c r="OT27" s="4"/>
      <c r="PD27" s="2"/>
      <c r="PH27" s="2"/>
      <c r="PQ27" s="2"/>
      <c r="PX27" s="2"/>
      <c r="PY27" s="3"/>
      <c r="QF27" s="4"/>
      <c r="QH27" s="4"/>
      <c r="QZ27" s="2"/>
      <c r="RA27" s="2"/>
      <c r="RN27" s="4"/>
      <c r="RO27" s="4"/>
      <c r="RR27" s="2"/>
      <c r="RT27" s="2"/>
      <c r="SA27" s="4"/>
      <c r="SC27" s="4"/>
      <c r="SN27" s="2"/>
      <c r="SQ27" s="4"/>
      <c r="SS27" s="4"/>
      <c r="TG27" s="2"/>
      <c r="TH27" s="2"/>
      <c r="TI27" s="2"/>
      <c r="TU27" s="4"/>
      <c r="TW27" s="4"/>
    </row>
    <row r="28" spans="1:543">
      <c r="A28">
        <v>2746</v>
      </c>
      <c r="B28">
        <v>4475</v>
      </c>
      <c r="C28">
        <v>8593228805</v>
      </c>
      <c r="D28" t="s">
        <v>104</v>
      </c>
      <c r="E28" t="s">
        <v>190</v>
      </c>
      <c r="F28" t="s">
        <v>191</v>
      </c>
      <c r="G28" s="2">
        <v>34128</v>
      </c>
      <c r="H28" t="s">
        <v>43</v>
      </c>
      <c r="I28" t="s">
        <v>192</v>
      </c>
      <c r="J28" t="s">
        <v>61</v>
      </c>
      <c r="K28" t="s">
        <v>193</v>
      </c>
      <c r="L28" t="s">
        <v>77</v>
      </c>
      <c r="M28" s="2">
        <v>26726</v>
      </c>
      <c r="N28" t="s">
        <v>194</v>
      </c>
      <c r="O28" s="2">
        <f>DATE(YEAR(G28) + P28, MONTH(G28), DAY(G28))</f>
        <v>56773</v>
      </c>
      <c r="P28">
        <v>62</v>
      </c>
      <c r="Q28" s="2"/>
      <c r="R28" t="s">
        <v>47</v>
      </c>
      <c r="S28" t="s">
        <v>48</v>
      </c>
      <c r="T28" s="2">
        <v>27304</v>
      </c>
      <c r="U28" t="s">
        <v>38</v>
      </c>
      <c r="V28" t="s">
        <v>38</v>
      </c>
      <c r="W28">
        <v>23</v>
      </c>
      <c r="X28" s="1">
        <v>61526</v>
      </c>
      <c r="Y28" s="1">
        <f t="shared" si="0"/>
        <v>15381.5</v>
      </c>
      <c r="Z28" s="1">
        <f t="shared" ref="Z28:Z91" si="4">X28-Y28</f>
        <v>46144.5</v>
      </c>
      <c r="AA28" s="3">
        <v>228</v>
      </c>
      <c r="AK28" s="3"/>
      <c r="AM28" s="4"/>
      <c r="AO28" s="4"/>
      <c r="BA28" s="2"/>
      <c r="BB28" s="2"/>
      <c r="BD28" s="4"/>
      <c r="BF28" s="4"/>
      <c r="BM28" s="2"/>
      <c r="BO28" s="4"/>
      <c r="CI28" s="2"/>
      <c r="CJ28" s="2"/>
      <c r="CN28" s="2"/>
      <c r="CQ28" s="2"/>
      <c r="CV28" s="4"/>
      <c r="CX28" s="4"/>
      <c r="DB28" s="2"/>
      <c r="DC28" s="2"/>
      <c r="DE28" s="2"/>
      <c r="DF28" s="2"/>
      <c r="DV28" s="2"/>
      <c r="DW28" s="2"/>
      <c r="EF28" s="4"/>
      <c r="EH28" s="4"/>
      <c r="ER28" s="2"/>
      <c r="ES28" s="2"/>
      <c r="EU28" s="3"/>
      <c r="EX28" s="4"/>
      <c r="EZ28" s="4"/>
      <c r="FQ28" s="4"/>
      <c r="FS28" s="4"/>
      <c r="GE28" s="2"/>
      <c r="GJ28" s="4"/>
      <c r="GL28" s="4"/>
      <c r="GR28" s="2"/>
      <c r="GT28" s="3"/>
      <c r="GV28" s="2"/>
      <c r="HB28" s="3"/>
      <c r="HP28" s="2"/>
      <c r="HQ28" s="3"/>
      <c r="HS28" s="4"/>
      <c r="HU28" s="4"/>
      <c r="II28" s="4"/>
      <c r="IK28" s="4"/>
      <c r="IS28" s="2"/>
      <c r="IT28" s="2"/>
      <c r="IW28" s="4"/>
      <c r="IY28" s="4"/>
      <c r="JH28" s="2"/>
      <c r="JK28" s="4"/>
      <c r="JM28" s="4"/>
      <c r="JZ28" s="2"/>
      <c r="KC28" s="3"/>
      <c r="KD28" s="4"/>
      <c r="KF28" s="4"/>
      <c r="KJ28" s="4"/>
      <c r="KT28" s="2"/>
      <c r="KU28" s="2"/>
      <c r="KW28" s="2"/>
      <c r="LC28" s="2"/>
      <c r="LF28" s="2"/>
      <c r="LK28" s="2"/>
      <c r="LT28" s="4"/>
      <c r="LV28" s="4"/>
      <c r="LZ28" s="3"/>
      <c r="NB28" s="2"/>
      <c r="NC28" s="2"/>
      <c r="NG28" s="5"/>
      <c r="NJ28" s="2"/>
      <c r="NN28" s="2"/>
      <c r="NO28" s="2"/>
      <c r="NQ28" s="3"/>
      <c r="NT28" s="4"/>
      <c r="NV28" s="4"/>
      <c r="OA28" s="2"/>
      <c r="OB28" s="2"/>
      <c r="OR28" s="4"/>
      <c r="OT28" s="4"/>
      <c r="PD28" s="2"/>
      <c r="PH28" s="2"/>
      <c r="PQ28" s="2"/>
      <c r="PX28" s="2"/>
      <c r="PZ28" s="2"/>
      <c r="QF28" s="4"/>
      <c r="QH28" s="4"/>
      <c r="QZ28" s="2"/>
      <c r="RA28" s="2"/>
      <c r="RN28" s="4"/>
      <c r="RO28" s="4"/>
      <c r="RR28" s="2"/>
      <c r="RT28" s="2"/>
      <c r="SA28" s="4"/>
      <c r="SC28" s="4"/>
      <c r="SN28" s="2"/>
      <c r="SQ28" s="4"/>
      <c r="SS28" s="4"/>
      <c r="TH28" s="2"/>
      <c r="TI28" s="2"/>
      <c r="TU28" s="4"/>
      <c r="TW28" s="4"/>
    </row>
    <row r="29" spans="1:543">
      <c r="A29">
        <v>9486</v>
      </c>
      <c r="B29">
        <v>4112</v>
      </c>
      <c r="C29">
        <v>2386055712</v>
      </c>
      <c r="D29" t="s">
        <v>91</v>
      </c>
      <c r="E29" t="s">
        <v>195</v>
      </c>
      <c r="F29" t="s">
        <v>196</v>
      </c>
      <c r="G29" s="2">
        <v>40542</v>
      </c>
      <c r="H29" t="s">
        <v>30</v>
      </c>
      <c r="I29" t="s">
        <v>70</v>
      </c>
      <c r="J29" t="s">
        <v>61</v>
      </c>
      <c r="K29" t="s">
        <v>197</v>
      </c>
      <c r="L29" t="s">
        <v>95</v>
      </c>
      <c r="M29" s="2">
        <v>28432</v>
      </c>
      <c r="N29" t="s">
        <v>198</v>
      </c>
      <c r="O29" s="2">
        <f>DATE(YEAR(G29) + P29, MONTH(G29), DAY(G29))</f>
        <v>64283</v>
      </c>
      <c r="P29">
        <v>65</v>
      </c>
      <c r="Q29" s="2"/>
      <c r="R29" t="s">
        <v>47</v>
      </c>
      <c r="S29" t="s">
        <v>102</v>
      </c>
      <c r="T29" s="2">
        <v>26633</v>
      </c>
      <c r="U29" t="s">
        <v>49</v>
      </c>
      <c r="V29" t="s">
        <v>56</v>
      </c>
      <c r="W29">
        <v>20</v>
      </c>
      <c r="X29" s="1">
        <v>23405</v>
      </c>
      <c r="Y29" s="1">
        <f t="shared" si="0"/>
        <v>5851.25</v>
      </c>
      <c r="Z29" s="1">
        <f t="shared" si="4"/>
        <v>17553.75</v>
      </c>
      <c r="AA29" s="3">
        <v>716</v>
      </c>
      <c r="AK29" s="3"/>
      <c r="AM29" s="4"/>
      <c r="AO29" s="4"/>
      <c r="BA29" s="2"/>
      <c r="BD29" s="4"/>
      <c r="BF29" s="4"/>
      <c r="BM29" s="2"/>
      <c r="BO29" s="4"/>
      <c r="CF29" s="3"/>
      <c r="CI29" s="2"/>
      <c r="CJ29" s="2"/>
      <c r="CN29" s="2"/>
      <c r="CV29" s="4"/>
      <c r="CX29" s="4"/>
      <c r="DB29" s="2"/>
      <c r="DC29" s="2"/>
      <c r="DD29" s="3"/>
      <c r="DE29" s="2"/>
      <c r="DF29" s="2"/>
      <c r="DV29" s="2"/>
      <c r="DW29" s="2"/>
      <c r="EF29" s="4"/>
      <c r="EH29" s="4"/>
      <c r="ER29" s="2"/>
      <c r="ES29" s="2"/>
      <c r="EX29" s="4"/>
      <c r="EZ29" s="4"/>
      <c r="FS29" s="4"/>
      <c r="GE29" s="2"/>
      <c r="GJ29" s="4"/>
      <c r="GL29" s="4"/>
      <c r="GR29" s="2"/>
      <c r="GS29" s="3"/>
      <c r="GV29" s="2"/>
      <c r="GX29" s="3"/>
      <c r="HB29" s="3"/>
      <c r="HP29" s="2"/>
      <c r="HQ29" s="3"/>
      <c r="HS29" s="4"/>
      <c r="HU29" s="4"/>
      <c r="II29" s="4"/>
      <c r="IK29" s="4"/>
      <c r="IS29" s="2"/>
      <c r="IT29" s="2"/>
      <c r="IV29" s="2"/>
      <c r="IW29" s="4"/>
      <c r="IY29" s="4"/>
      <c r="JH29" s="2"/>
      <c r="JK29" s="4"/>
      <c r="JM29" s="4"/>
      <c r="JZ29" s="2"/>
      <c r="KD29" s="4"/>
      <c r="KF29" s="4"/>
      <c r="KJ29" s="4"/>
      <c r="KT29" s="2"/>
      <c r="KU29" s="2"/>
      <c r="KW29" s="2"/>
      <c r="LC29" s="2"/>
      <c r="LF29" s="2"/>
      <c r="LK29" s="2"/>
      <c r="LM29" s="3"/>
      <c r="LT29" s="4"/>
      <c r="LV29" s="4"/>
      <c r="NB29" s="2"/>
      <c r="NC29" s="2"/>
      <c r="NJ29" s="2"/>
      <c r="NN29" s="2"/>
      <c r="NO29" s="2"/>
      <c r="NV29" s="4"/>
      <c r="OA29" s="2"/>
      <c r="OB29" s="2"/>
      <c r="ON29" s="2"/>
      <c r="OR29" s="4"/>
      <c r="PD29" s="2"/>
      <c r="PH29" s="2"/>
      <c r="PQ29" s="2"/>
      <c r="PX29" s="2"/>
      <c r="PZ29" s="2"/>
      <c r="QF29" s="4"/>
      <c r="QH29" s="4"/>
      <c r="QZ29" s="2"/>
      <c r="RN29" s="4"/>
      <c r="RO29" s="4"/>
      <c r="RR29" s="2"/>
      <c r="RT29" s="2"/>
      <c r="RU29" s="2"/>
      <c r="SA29" s="4"/>
      <c r="SC29" s="4"/>
      <c r="SM29" s="3"/>
      <c r="SN29" s="2"/>
      <c r="SQ29" s="4"/>
      <c r="SS29" s="4"/>
      <c r="TG29" s="2"/>
      <c r="TH29" s="2"/>
      <c r="TI29" s="2"/>
      <c r="TU29" s="4"/>
      <c r="TW29" s="4"/>
    </row>
    <row r="30" spans="1:543">
      <c r="A30">
        <v>8032</v>
      </c>
      <c r="B30">
        <v>6121</v>
      </c>
      <c r="C30">
        <v>1567423072</v>
      </c>
      <c r="D30" t="s">
        <v>199</v>
      </c>
      <c r="E30" t="s">
        <v>200</v>
      </c>
      <c r="F30" t="s">
        <v>201</v>
      </c>
      <c r="G30" s="2">
        <v>36923</v>
      </c>
      <c r="H30" t="s">
        <v>43</v>
      </c>
      <c r="I30" t="s">
        <v>44</v>
      </c>
      <c r="J30" t="s">
        <v>61</v>
      </c>
      <c r="K30" t="s">
        <v>202</v>
      </c>
      <c r="L30" t="s">
        <v>34</v>
      </c>
      <c r="M30" s="2">
        <v>44134</v>
      </c>
      <c r="N30" t="s">
        <v>203</v>
      </c>
      <c r="O30" s="2">
        <f>DATE(YEAR(G30) + P30, MONTH(G30), DAY(G30))</f>
        <v>61394</v>
      </c>
      <c r="P30">
        <v>67</v>
      </c>
      <c r="Q30" s="2"/>
      <c r="R30" t="s">
        <v>47</v>
      </c>
      <c r="S30" t="s">
        <v>37</v>
      </c>
      <c r="T30" s="2">
        <v>43869</v>
      </c>
      <c r="U30" t="s">
        <v>65</v>
      </c>
      <c r="V30" t="s">
        <v>66</v>
      </c>
      <c r="W30">
        <v>5</v>
      </c>
      <c r="X30" s="1">
        <v>42366</v>
      </c>
      <c r="Y30" s="1">
        <f t="shared" si="0"/>
        <v>10591.5</v>
      </c>
      <c r="Z30" s="1">
        <f t="shared" si="4"/>
        <v>31774.5</v>
      </c>
      <c r="AA30" s="3">
        <v>948</v>
      </c>
      <c r="AK30" s="3"/>
      <c r="AM30" s="4"/>
      <c r="BA30" s="2"/>
      <c r="BB30" s="2"/>
      <c r="BD30" s="4"/>
      <c r="BF30" s="4"/>
      <c r="BM30" s="2"/>
      <c r="BO30" s="4"/>
      <c r="BQ30" s="4"/>
      <c r="CI30" s="2"/>
      <c r="CJ30" s="2"/>
      <c r="CP30" s="3"/>
      <c r="CQ30" s="2"/>
      <c r="CV30" s="4"/>
      <c r="CX30" s="4"/>
      <c r="DB30" s="2"/>
      <c r="DC30" s="2"/>
      <c r="DE30" s="2"/>
      <c r="DF30" s="2"/>
      <c r="DV30" s="2"/>
      <c r="DW30" s="2"/>
      <c r="EF30" s="4"/>
      <c r="EH30" s="4"/>
      <c r="ES30" s="2"/>
      <c r="EX30" s="4"/>
      <c r="EZ30" s="4"/>
      <c r="FQ30" s="4"/>
      <c r="FS30" s="4"/>
      <c r="GE30" s="2"/>
      <c r="GJ30" s="4"/>
      <c r="GL30" s="4"/>
      <c r="GR30" s="2"/>
      <c r="GS30" s="3"/>
      <c r="GU30" s="3"/>
      <c r="GV30" s="2"/>
      <c r="GW30" s="3"/>
      <c r="HB30" s="3"/>
      <c r="HN30" s="3"/>
      <c r="HP30" s="2"/>
      <c r="HQ30" s="3"/>
      <c r="HS30" s="4"/>
      <c r="II30" s="4"/>
      <c r="IK30" s="4"/>
      <c r="IS30" s="2"/>
      <c r="IT30" s="2"/>
      <c r="IV30" s="2"/>
      <c r="IW30" s="4"/>
      <c r="IY30" s="4"/>
      <c r="JH30" s="2"/>
      <c r="JK30" s="4"/>
      <c r="JM30" s="4"/>
      <c r="JZ30" s="2"/>
      <c r="KD30" s="4"/>
      <c r="KF30" s="4"/>
      <c r="KJ30" s="4"/>
      <c r="KT30" s="2"/>
      <c r="KU30" s="2"/>
      <c r="KW30" s="2"/>
      <c r="LC30" s="2"/>
      <c r="LK30" s="2"/>
      <c r="LV30" s="4"/>
      <c r="NB30" s="2"/>
      <c r="NC30" s="2"/>
      <c r="NN30" s="2"/>
      <c r="NO30" s="2"/>
      <c r="NT30" s="4"/>
      <c r="NV30" s="4"/>
      <c r="OA30" s="2"/>
      <c r="OB30" s="2"/>
      <c r="ON30" s="2"/>
      <c r="OR30" s="4"/>
      <c r="OT30" s="4"/>
      <c r="PD30" s="2"/>
      <c r="PH30" s="2"/>
      <c r="PX30" s="2"/>
      <c r="PZ30" s="2"/>
      <c r="QF30" s="4"/>
      <c r="QH30" s="4"/>
      <c r="QZ30" s="2"/>
      <c r="RA30" s="2"/>
      <c r="RN30" s="4"/>
      <c r="RO30" s="4"/>
      <c r="RR30" s="2"/>
      <c r="RT30" s="2"/>
      <c r="RU30" s="2"/>
      <c r="SA30" s="4"/>
      <c r="SC30" s="4"/>
      <c r="SQ30" s="4"/>
      <c r="SS30" s="4"/>
      <c r="TG30" s="2"/>
      <c r="TH30" s="2"/>
      <c r="TI30" s="2"/>
      <c r="TU30" s="4"/>
      <c r="TW30" s="4"/>
    </row>
    <row r="31" spans="1:543">
      <c r="A31">
        <v>3730</v>
      </c>
      <c r="B31">
        <v>2252</v>
      </c>
      <c r="C31">
        <v>9532001207</v>
      </c>
      <c r="D31" t="s">
        <v>50</v>
      </c>
      <c r="E31" t="s">
        <v>204</v>
      </c>
      <c r="F31" t="s">
        <v>205</v>
      </c>
      <c r="G31" s="2">
        <v>32786</v>
      </c>
      <c r="H31" t="s">
        <v>30</v>
      </c>
      <c r="I31" t="s">
        <v>137</v>
      </c>
      <c r="J31" t="s">
        <v>32</v>
      </c>
      <c r="K31" t="s">
        <v>206</v>
      </c>
      <c r="L31" t="s">
        <v>34</v>
      </c>
      <c r="M31" s="2"/>
      <c r="N31" t="s">
        <v>207</v>
      </c>
      <c r="O31" s="2">
        <f>DATE(YEAR(G31) + P31, MONTH(G31), DAY(G31))</f>
        <v>56527</v>
      </c>
      <c r="P31">
        <v>65</v>
      </c>
      <c r="Q31" s="2"/>
      <c r="R31" t="s">
        <v>47</v>
      </c>
      <c r="S31" t="s">
        <v>109</v>
      </c>
      <c r="T31" s="2">
        <v>29140</v>
      </c>
      <c r="U31" t="s">
        <v>38</v>
      </c>
      <c r="V31" t="s">
        <v>38</v>
      </c>
      <c r="W31">
        <v>12</v>
      </c>
      <c r="X31" s="1">
        <v>29822</v>
      </c>
      <c r="Y31" s="1">
        <f t="shared" si="0"/>
        <v>7455.5</v>
      </c>
      <c r="Z31" s="1">
        <f t="shared" si="4"/>
        <v>22366.5</v>
      </c>
      <c r="AA31" s="3">
        <v>806</v>
      </c>
      <c r="AK31" s="3"/>
      <c r="AM31" s="4"/>
      <c r="AO31" s="4"/>
      <c r="BA31" s="2"/>
      <c r="BD31" s="4"/>
      <c r="BF31" s="4"/>
      <c r="BM31" s="2"/>
      <c r="BO31" s="4"/>
      <c r="BQ31" s="4"/>
      <c r="CI31" s="2"/>
      <c r="CJ31" s="2"/>
      <c r="CN31" s="2"/>
      <c r="CQ31" s="2"/>
      <c r="CV31" s="4"/>
      <c r="CX31" s="4"/>
      <c r="DB31" s="2"/>
      <c r="DC31" s="2"/>
      <c r="DE31" s="2"/>
      <c r="DF31" s="2"/>
      <c r="DV31" s="2"/>
      <c r="DW31" s="2"/>
      <c r="EF31" s="4"/>
      <c r="EH31" s="4"/>
      <c r="ER31" s="2"/>
      <c r="ES31" s="2"/>
      <c r="EX31" s="4"/>
      <c r="EZ31" s="4"/>
      <c r="FS31" s="4"/>
      <c r="GE31" s="2"/>
      <c r="GJ31" s="4"/>
      <c r="GL31" s="4"/>
      <c r="GR31" s="2"/>
      <c r="GS31" s="3"/>
      <c r="GU31" s="3"/>
      <c r="GV31" s="2"/>
      <c r="GX31" s="3"/>
      <c r="HB31" s="3"/>
      <c r="HP31" s="2"/>
      <c r="HS31" s="4"/>
      <c r="HU31" s="4"/>
      <c r="II31" s="4"/>
      <c r="IK31" s="4"/>
      <c r="IS31" s="2"/>
      <c r="IT31" s="2"/>
      <c r="IV31" s="2"/>
      <c r="IW31" s="4"/>
      <c r="IY31" s="4"/>
      <c r="JK31" s="4"/>
      <c r="JM31" s="4"/>
      <c r="JZ31" s="2"/>
      <c r="KD31" s="4"/>
      <c r="KF31" s="4"/>
      <c r="KJ31" s="4"/>
      <c r="KT31" s="2"/>
      <c r="KW31" s="2"/>
      <c r="LC31" s="2"/>
      <c r="LK31" s="2"/>
      <c r="LT31" s="4"/>
      <c r="LV31" s="4"/>
      <c r="MG31" s="3"/>
      <c r="MK31" s="3"/>
      <c r="NB31" s="2"/>
      <c r="NC31" s="2"/>
      <c r="NJ31" s="2"/>
      <c r="NN31" s="2"/>
      <c r="NO31" s="2"/>
      <c r="NT31" s="4"/>
      <c r="NV31" s="4"/>
      <c r="OA31" s="2"/>
      <c r="OB31" s="2"/>
      <c r="ON31" s="2"/>
      <c r="OO31" s="3"/>
      <c r="OR31" s="4"/>
      <c r="PD31" s="2"/>
      <c r="PH31" s="2"/>
      <c r="PQ31" s="2"/>
      <c r="PX31" s="2"/>
      <c r="PZ31" s="2"/>
      <c r="QF31" s="4"/>
      <c r="QH31" s="4"/>
      <c r="QZ31" s="2"/>
      <c r="RA31" s="2"/>
      <c r="RN31" s="4"/>
      <c r="RO31" s="4"/>
      <c r="RR31" s="2"/>
      <c r="RT31" s="2"/>
      <c r="RU31" s="2"/>
      <c r="SA31" s="4"/>
      <c r="SC31" s="4"/>
      <c r="SN31" s="2"/>
      <c r="SQ31" s="4"/>
      <c r="SS31" s="4"/>
      <c r="TG31" s="2"/>
      <c r="TP31" s="3"/>
      <c r="TU31" s="4"/>
      <c r="TW31" s="4"/>
    </row>
    <row r="32" spans="1:543">
      <c r="A32">
        <v>2827</v>
      </c>
      <c r="B32">
        <v>6172</v>
      </c>
      <c r="C32">
        <v>5035104637</v>
      </c>
      <c r="D32" t="s">
        <v>208</v>
      </c>
      <c r="E32" t="s">
        <v>209</v>
      </c>
      <c r="F32" t="s">
        <v>210</v>
      </c>
      <c r="G32" s="2">
        <v>28963</v>
      </c>
      <c r="H32" t="s">
        <v>43</v>
      </c>
      <c r="I32" t="s">
        <v>75</v>
      </c>
      <c r="J32" t="s">
        <v>61</v>
      </c>
      <c r="K32" t="s">
        <v>211</v>
      </c>
      <c r="L32" t="s">
        <v>77</v>
      </c>
      <c r="M32" s="2">
        <v>45600</v>
      </c>
      <c r="N32" t="s">
        <v>212</v>
      </c>
      <c r="O32" s="2">
        <f>DATE(YEAR(G32) + P32, MONTH(G32), DAY(G32))</f>
        <v>53070</v>
      </c>
      <c r="P32">
        <v>66</v>
      </c>
      <c r="Q32" s="2"/>
      <c r="R32" t="s">
        <v>47</v>
      </c>
      <c r="S32" t="s">
        <v>109</v>
      </c>
      <c r="T32" s="2">
        <v>45595</v>
      </c>
      <c r="U32" t="s">
        <v>103</v>
      </c>
      <c r="V32" t="s">
        <v>39</v>
      </c>
      <c r="W32">
        <v>13</v>
      </c>
      <c r="X32" s="1">
        <v>39417</v>
      </c>
      <c r="Y32" s="1">
        <f t="shared" si="0"/>
        <v>9854.25</v>
      </c>
      <c r="Z32" s="1">
        <f t="shared" si="4"/>
        <v>29562.75</v>
      </c>
      <c r="AA32" s="3">
        <v>252</v>
      </c>
      <c r="AK32" s="3"/>
      <c r="AM32" s="4"/>
      <c r="AO32" s="4"/>
      <c r="BA32" s="2"/>
      <c r="BB32" s="2"/>
      <c r="BD32" s="4"/>
      <c r="BM32" s="2"/>
      <c r="BO32" s="4"/>
      <c r="BQ32" s="4"/>
      <c r="CI32" s="2"/>
      <c r="CJ32" s="2"/>
      <c r="CN32" s="2"/>
      <c r="CQ32" s="2"/>
      <c r="CV32" s="4"/>
      <c r="CX32" s="4"/>
      <c r="DB32" s="2"/>
      <c r="DC32" s="2"/>
      <c r="DE32" s="2"/>
      <c r="DF32" s="2"/>
      <c r="DW32" s="2"/>
      <c r="EF32" s="4"/>
      <c r="EH32" s="4"/>
      <c r="ER32" s="2"/>
      <c r="EX32" s="4"/>
      <c r="EZ32" s="4"/>
      <c r="FQ32" s="4"/>
      <c r="FS32" s="4"/>
      <c r="GE32" s="2"/>
      <c r="GL32" s="4"/>
      <c r="GS32" s="3"/>
      <c r="GU32" s="3"/>
      <c r="GV32" s="2"/>
      <c r="GX32" s="3"/>
      <c r="GY32" s="3"/>
      <c r="HB32" s="3"/>
      <c r="HO32" s="3"/>
      <c r="HP32" s="2"/>
      <c r="HS32" s="4"/>
      <c r="HU32" s="4"/>
      <c r="IK32" s="4"/>
      <c r="IS32" s="2"/>
      <c r="IT32" s="2"/>
      <c r="IV32" s="2"/>
      <c r="IW32" s="4"/>
      <c r="IY32" s="4"/>
      <c r="JH32" s="2"/>
      <c r="JK32" s="4"/>
      <c r="JM32" s="4"/>
      <c r="JZ32" s="2"/>
      <c r="KD32" s="4"/>
      <c r="KF32" s="4"/>
      <c r="KJ32" s="4"/>
      <c r="KT32" s="2"/>
      <c r="KU32" s="2"/>
      <c r="KW32" s="2"/>
      <c r="LF32" s="2"/>
      <c r="LK32" s="2"/>
      <c r="LT32" s="4"/>
      <c r="LV32" s="4"/>
      <c r="MB32" s="3"/>
      <c r="MJ32" s="3"/>
      <c r="NB32" s="2"/>
      <c r="NC32" s="2"/>
      <c r="NJ32" s="2"/>
      <c r="NN32" s="2"/>
      <c r="NO32" s="2"/>
      <c r="NT32" s="4"/>
      <c r="OA32" s="2"/>
      <c r="OB32" s="2"/>
      <c r="ON32" s="2"/>
      <c r="OR32" s="4"/>
      <c r="PD32" s="2"/>
      <c r="PH32" s="2"/>
      <c r="PQ32" s="2"/>
      <c r="PX32" s="2"/>
      <c r="PZ32" s="2"/>
      <c r="QF32" s="4"/>
      <c r="QH32" s="4"/>
      <c r="QZ32" s="2"/>
      <c r="RA32" s="2"/>
      <c r="RN32" s="4"/>
      <c r="RO32" s="4"/>
      <c r="RT32" s="2"/>
      <c r="RU32" s="2"/>
      <c r="SA32" s="4"/>
      <c r="SC32" s="4"/>
      <c r="SN32" s="2"/>
      <c r="SQ32" s="4"/>
      <c r="SS32" s="4"/>
      <c r="TG32" s="2"/>
      <c r="TH32" s="2"/>
      <c r="TI32" s="2"/>
      <c r="TU32" s="4"/>
      <c r="TW32" s="4"/>
    </row>
    <row r="33" spans="1:543">
      <c r="A33">
        <v>1544</v>
      </c>
      <c r="B33">
        <v>5535</v>
      </c>
      <c r="C33">
        <v>3865336806</v>
      </c>
      <c r="D33" t="s">
        <v>213</v>
      </c>
      <c r="E33" t="s">
        <v>214</v>
      </c>
      <c r="F33" t="s">
        <v>215</v>
      </c>
      <c r="G33" s="2">
        <v>25537</v>
      </c>
      <c r="H33" t="s">
        <v>30</v>
      </c>
      <c r="I33" t="s">
        <v>137</v>
      </c>
      <c r="J33" t="s">
        <v>32</v>
      </c>
      <c r="K33" t="s">
        <v>216</v>
      </c>
      <c r="L33" t="s">
        <v>95</v>
      </c>
      <c r="M33" s="2"/>
      <c r="N33" t="s">
        <v>217</v>
      </c>
      <c r="O33" s="2">
        <f>DATE(YEAR(G33) + P33, MONTH(G33), DAY(G33))</f>
        <v>47817</v>
      </c>
      <c r="P33">
        <v>61</v>
      </c>
      <c r="Q33" s="2"/>
      <c r="R33" t="s">
        <v>47</v>
      </c>
      <c r="S33" t="s">
        <v>37</v>
      </c>
      <c r="T33" s="2">
        <v>42067</v>
      </c>
      <c r="U33" t="s">
        <v>49</v>
      </c>
      <c r="V33" t="s">
        <v>66</v>
      </c>
      <c r="W33">
        <v>8</v>
      </c>
      <c r="X33" s="1">
        <v>43707</v>
      </c>
      <c r="Y33" s="1">
        <f t="shared" si="0"/>
        <v>10926.75</v>
      </c>
      <c r="Z33" s="1">
        <f t="shared" si="4"/>
        <v>32780.25</v>
      </c>
      <c r="AA33" s="3">
        <v>65</v>
      </c>
      <c r="AK33" s="3"/>
      <c r="AM33" s="4"/>
      <c r="AO33" s="4"/>
      <c r="BA33" s="2"/>
      <c r="BB33" s="2"/>
      <c r="BD33" s="4"/>
      <c r="BF33" s="4"/>
      <c r="BM33" s="2"/>
      <c r="BO33" s="4"/>
      <c r="BQ33" s="4"/>
      <c r="CH33" s="3"/>
      <c r="CI33" s="2"/>
      <c r="CJ33" s="2"/>
      <c r="CL33" s="3"/>
      <c r="CN33" s="2"/>
      <c r="CQ33" s="2"/>
      <c r="CV33" s="4"/>
      <c r="CX33" s="4"/>
      <c r="DB33" s="2"/>
      <c r="DC33" s="2"/>
      <c r="DE33" s="2"/>
      <c r="DV33" s="2"/>
      <c r="DW33" s="2"/>
      <c r="EF33" s="4"/>
      <c r="EH33" s="4"/>
      <c r="ER33" s="2"/>
      <c r="ES33" s="2"/>
      <c r="EX33" s="4"/>
      <c r="EZ33" s="4"/>
      <c r="FQ33" s="4"/>
      <c r="FS33" s="4"/>
      <c r="GE33" s="2"/>
      <c r="GJ33" s="4"/>
      <c r="GL33" s="4"/>
      <c r="GR33" s="2"/>
      <c r="GV33" s="2"/>
      <c r="GX33" s="3"/>
      <c r="GY33" s="3"/>
      <c r="HB33" s="3"/>
      <c r="HS33" s="4"/>
      <c r="HU33" s="4"/>
      <c r="II33" s="4"/>
      <c r="IK33" s="4"/>
      <c r="IS33" s="2"/>
      <c r="IT33" s="2"/>
      <c r="IV33" s="2"/>
      <c r="IW33" s="4"/>
      <c r="IY33" s="4"/>
      <c r="JH33" s="2"/>
      <c r="JK33" s="4"/>
      <c r="JM33" s="4"/>
      <c r="JZ33" s="2"/>
      <c r="KA33" s="3"/>
      <c r="KC33" s="3"/>
      <c r="KD33" s="4"/>
      <c r="KJ33" s="4"/>
      <c r="KT33" s="2"/>
      <c r="KU33" s="2"/>
      <c r="KW33" s="2"/>
      <c r="LC33" s="2"/>
      <c r="LF33" s="2"/>
      <c r="LK33" s="2"/>
      <c r="LT33" s="4"/>
      <c r="LV33" s="4"/>
      <c r="NB33" s="2"/>
      <c r="NC33" s="2"/>
      <c r="NG33" s="5"/>
      <c r="NJ33" s="2"/>
      <c r="NN33" s="2"/>
      <c r="NO33" s="2"/>
      <c r="NP33" s="3"/>
      <c r="NV33" s="4"/>
      <c r="OA33" s="2"/>
      <c r="OB33" s="2"/>
      <c r="ON33" s="2"/>
      <c r="OR33" s="4"/>
      <c r="PD33" s="2"/>
      <c r="PH33" s="2"/>
      <c r="PQ33" s="2"/>
      <c r="PX33" s="2"/>
      <c r="PZ33" s="2"/>
      <c r="QF33" s="4"/>
      <c r="QH33" s="4"/>
      <c r="QZ33" s="2"/>
      <c r="RA33" s="2"/>
      <c r="RN33" s="4"/>
      <c r="RO33" s="4"/>
      <c r="RR33" s="2"/>
      <c r="RT33" s="2"/>
      <c r="SA33" s="4"/>
      <c r="SC33" s="4"/>
      <c r="SN33" s="2"/>
      <c r="SQ33" s="4"/>
      <c r="SS33" s="4"/>
      <c r="TG33" s="2"/>
      <c r="TH33" s="2"/>
      <c r="TI33" s="2"/>
      <c r="TU33" s="4"/>
      <c r="TW33" s="4"/>
    </row>
    <row r="34" spans="1:543">
      <c r="A34">
        <v>391</v>
      </c>
      <c r="B34">
        <v>4098</v>
      </c>
      <c r="C34">
        <v>9256227341</v>
      </c>
      <c r="D34" t="s">
        <v>185</v>
      </c>
      <c r="E34" t="s">
        <v>218</v>
      </c>
      <c r="F34" t="s">
        <v>219</v>
      </c>
      <c r="G34" s="2">
        <v>40496</v>
      </c>
      <c r="H34" t="s">
        <v>43</v>
      </c>
      <c r="I34" t="s">
        <v>60</v>
      </c>
      <c r="J34" t="s">
        <v>32</v>
      </c>
      <c r="K34" t="s">
        <v>220</v>
      </c>
      <c r="L34" t="s">
        <v>95</v>
      </c>
      <c r="M34" s="2"/>
      <c r="N34" t="s">
        <v>221</v>
      </c>
      <c r="O34" s="2">
        <f>DATE(YEAR(G34) + P34, MONTH(G34), DAY(G34))</f>
        <v>65698</v>
      </c>
      <c r="P34">
        <v>69</v>
      </c>
      <c r="Q34" s="2"/>
      <c r="R34" t="s">
        <v>47</v>
      </c>
      <c r="S34" t="s">
        <v>109</v>
      </c>
      <c r="T34" s="2">
        <v>45200</v>
      </c>
      <c r="U34" t="s">
        <v>49</v>
      </c>
      <c r="V34" t="s">
        <v>38</v>
      </c>
      <c r="W34">
        <v>8</v>
      </c>
      <c r="X34" s="1">
        <v>66910</v>
      </c>
      <c r="Y34" s="1">
        <f t="shared" si="0"/>
        <v>16727.5</v>
      </c>
      <c r="Z34" s="1">
        <f t="shared" si="4"/>
        <v>50182.5</v>
      </c>
      <c r="AA34" s="3">
        <v>191</v>
      </c>
      <c r="AK34" s="3"/>
      <c r="AM34" s="4"/>
      <c r="AO34" s="4"/>
      <c r="BA34" s="2"/>
      <c r="BB34" s="2"/>
      <c r="BD34" s="4"/>
      <c r="BF34" s="4"/>
      <c r="BM34" s="2"/>
      <c r="BO34" s="4"/>
      <c r="CI34" s="2"/>
      <c r="CJ34" s="2"/>
      <c r="CL34" s="3"/>
      <c r="CN34" s="2"/>
      <c r="CQ34" s="2"/>
      <c r="CV34" s="4"/>
      <c r="CX34" s="4"/>
      <c r="DC34" s="2"/>
      <c r="DE34" s="2"/>
      <c r="DF34" s="2"/>
      <c r="DV34" s="2"/>
      <c r="DW34" s="2"/>
      <c r="EF34" s="4"/>
      <c r="EH34" s="4"/>
      <c r="ES34" s="2"/>
      <c r="EU34" s="3"/>
      <c r="EX34" s="4"/>
      <c r="EZ34" s="4"/>
      <c r="FQ34" s="4"/>
      <c r="FS34" s="4"/>
      <c r="GE34" s="2"/>
      <c r="GJ34" s="4"/>
      <c r="GR34" s="2"/>
      <c r="GS34" s="3"/>
      <c r="GX34" s="3"/>
      <c r="HB34" s="3"/>
      <c r="HN34" s="3"/>
      <c r="HP34" s="2"/>
      <c r="HQ34" s="3"/>
      <c r="HS34" s="4"/>
      <c r="HU34" s="4"/>
      <c r="II34" s="4"/>
      <c r="IK34" s="4"/>
      <c r="IS34" s="2"/>
      <c r="IT34" s="2"/>
      <c r="IV34" s="2"/>
      <c r="JH34" s="2"/>
      <c r="JK34" s="4"/>
      <c r="JM34" s="4"/>
      <c r="JZ34" s="2"/>
      <c r="KD34" s="4"/>
      <c r="KJ34" s="4"/>
      <c r="KT34" s="2"/>
      <c r="KU34" s="2"/>
      <c r="KW34" s="2"/>
      <c r="LC34" s="2"/>
      <c r="LF34" s="2"/>
      <c r="LH34" s="3"/>
      <c r="LK34" s="2"/>
      <c r="LT34" s="4"/>
      <c r="LV34" s="4"/>
      <c r="NB34" s="2"/>
      <c r="NC34" s="2"/>
      <c r="NJ34" s="2"/>
      <c r="NN34" s="2"/>
      <c r="NO34" s="2"/>
      <c r="NT34" s="4"/>
      <c r="NV34" s="4"/>
      <c r="OA34" s="2"/>
      <c r="OB34" s="2"/>
      <c r="ON34" s="2"/>
      <c r="OR34" s="4"/>
      <c r="OT34" s="4"/>
      <c r="PD34" s="2"/>
      <c r="PH34" s="2"/>
      <c r="PI34" s="3"/>
      <c r="PQ34" s="2"/>
      <c r="PX34" s="2"/>
      <c r="PZ34" s="2"/>
      <c r="QH34" s="4"/>
      <c r="RA34" s="2"/>
      <c r="RM34" s="3"/>
      <c r="RO34" s="4"/>
      <c r="RR34" s="2"/>
      <c r="RT34" s="2"/>
      <c r="RU34" s="2"/>
      <c r="SA34" s="4"/>
      <c r="SN34" s="2"/>
      <c r="SQ34" s="4"/>
      <c r="TG34" s="2"/>
      <c r="TH34" s="2"/>
      <c r="TI34" s="2"/>
      <c r="TU34" s="4"/>
      <c r="TW34" s="4"/>
    </row>
    <row r="35" spans="1:543">
      <c r="A35">
        <v>767</v>
      </c>
      <c r="B35">
        <v>7930</v>
      </c>
      <c r="C35">
        <v>6106353421</v>
      </c>
      <c r="D35" t="s">
        <v>222</v>
      </c>
      <c r="E35" t="s">
        <v>223</v>
      </c>
      <c r="F35" t="s">
        <v>224</v>
      </c>
      <c r="G35" s="2">
        <v>40267</v>
      </c>
      <c r="H35" t="s">
        <v>30</v>
      </c>
      <c r="I35" t="s">
        <v>137</v>
      </c>
      <c r="J35" t="s">
        <v>32</v>
      </c>
      <c r="K35" t="s">
        <v>225</v>
      </c>
      <c r="L35" t="s">
        <v>95</v>
      </c>
      <c r="M35" s="2"/>
      <c r="N35" t="s">
        <v>226</v>
      </c>
      <c r="O35" s="2">
        <f>DATE(YEAR(G35) + P35, MONTH(G35), DAY(G35))</f>
        <v>64008</v>
      </c>
      <c r="P35">
        <v>65</v>
      </c>
      <c r="Q35" s="2">
        <v>40117</v>
      </c>
      <c r="R35" t="s">
        <v>36</v>
      </c>
      <c r="S35" t="s">
        <v>37</v>
      </c>
      <c r="T35" s="2">
        <v>27753</v>
      </c>
      <c r="U35" t="s">
        <v>103</v>
      </c>
      <c r="V35" t="s">
        <v>38</v>
      </c>
      <c r="W35">
        <v>22</v>
      </c>
      <c r="X35" s="1">
        <v>52454</v>
      </c>
      <c r="Y35" s="1">
        <f t="shared" si="0"/>
        <v>13113.5</v>
      </c>
      <c r="Z35" s="1">
        <f t="shared" si="4"/>
        <v>39340.5</v>
      </c>
      <c r="AA35" s="3">
        <v>608</v>
      </c>
      <c r="AK35" s="3"/>
      <c r="AM35" s="4"/>
      <c r="BA35" s="2"/>
      <c r="BB35" s="2"/>
      <c r="BD35" s="4"/>
      <c r="BF35" s="4"/>
      <c r="BM35" s="2"/>
      <c r="BO35" s="4"/>
      <c r="BQ35" s="4"/>
      <c r="CI35" s="2"/>
      <c r="CJ35" s="2"/>
      <c r="CN35" s="2"/>
      <c r="CQ35" s="2"/>
      <c r="CV35" s="4"/>
      <c r="CZ35" s="3"/>
      <c r="DB35" s="2"/>
      <c r="DC35" s="2"/>
      <c r="DF35" s="2"/>
      <c r="DV35" s="2"/>
      <c r="DW35" s="2"/>
      <c r="EF35" s="4"/>
      <c r="EH35" s="4"/>
      <c r="ES35" s="2"/>
      <c r="EX35" s="4"/>
      <c r="EZ35" s="4"/>
      <c r="FQ35" s="4"/>
      <c r="FS35" s="4"/>
      <c r="GE35" s="2"/>
      <c r="GJ35" s="4"/>
      <c r="GL35" s="4"/>
      <c r="GR35" s="2"/>
      <c r="GS35" s="3"/>
      <c r="GT35" s="3"/>
      <c r="GV35" s="2"/>
      <c r="GW35" s="3"/>
      <c r="IK35" s="4"/>
      <c r="IS35" s="2"/>
      <c r="IT35" s="2"/>
      <c r="IV35" s="2"/>
      <c r="IW35" s="4"/>
      <c r="IY35" s="4"/>
      <c r="JH35" s="2"/>
      <c r="JM35" s="4"/>
      <c r="JZ35" s="2"/>
      <c r="KD35" s="4"/>
      <c r="KF35" s="4"/>
      <c r="KJ35" s="4"/>
      <c r="KT35" s="2"/>
      <c r="KU35" s="2"/>
      <c r="KW35" s="2"/>
      <c r="LC35" s="2"/>
      <c r="LF35" s="2"/>
      <c r="LK35" s="2"/>
      <c r="LT35" s="4"/>
      <c r="LV35" s="4"/>
      <c r="MC35" s="3"/>
      <c r="NB35" s="2"/>
      <c r="NC35" s="2"/>
      <c r="NJ35" s="2"/>
      <c r="NN35" s="2"/>
      <c r="NO35" s="2"/>
      <c r="NP35" s="3"/>
      <c r="NT35" s="4"/>
      <c r="NV35" s="4"/>
      <c r="OA35" s="2"/>
      <c r="OB35" s="2"/>
      <c r="ON35" s="2"/>
      <c r="OR35" s="4"/>
      <c r="OT35" s="4"/>
      <c r="PD35" s="2"/>
      <c r="PQ35" s="2"/>
      <c r="PX35" s="2"/>
      <c r="PZ35" s="2"/>
      <c r="QF35" s="4"/>
      <c r="QH35" s="4"/>
      <c r="QX35" s="3"/>
      <c r="QZ35" s="2"/>
      <c r="RA35" s="2"/>
      <c r="RN35" s="4"/>
      <c r="RO35" s="4"/>
      <c r="RR35" s="2"/>
      <c r="RT35" s="2"/>
      <c r="RU35" s="2"/>
      <c r="SA35" s="4"/>
      <c r="SC35" s="4"/>
      <c r="SN35" s="2"/>
      <c r="SQ35" s="4"/>
      <c r="SS35" s="4"/>
      <c r="TG35" s="2"/>
      <c r="TH35" s="2"/>
      <c r="TI35" s="2"/>
      <c r="TU35" s="4"/>
      <c r="TW35" s="4"/>
    </row>
    <row r="36" spans="1:543">
      <c r="A36">
        <v>8923</v>
      </c>
      <c r="B36">
        <v>8935</v>
      </c>
      <c r="C36" s="3" t="s">
        <v>227</v>
      </c>
      <c r="D36" t="s">
        <v>228</v>
      </c>
      <c r="E36" t="s">
        <v>229</v>
      </c>
      <c r="F36" t="s">
        <v>230</v>
      </c>
      <c r="G36" s="2">
        <v>39667</v>
      </c>
      <c r="H36" t="s">
        <v>43</v>
      </c>
      <c r="I36" t="s">
        <v>31</v>
      </c>
      <c r="J36" t="s">
        <v>61</v>
      </c>
      <c r="K36" t="s">
        <v>231</v>
      </c>
      <c r="L36" t="s">
        <v>77</v>
      </c>
      <c r="M36" s="2">
        <v>35063</v>
      </c>
      <c r="N36" t="s">
        <v>232</v>
      </c>
      <c r="O36" s="2">
        <f>DATE(YEAR(G36) + P36, MONTH(G36), DAY(G36))</f>
        <v>63773</v>
      </c>
      <c r="P36">
        <v>66</v>
      </c>
      <c r="Q36" s="2"/>
      <c r="R36" t="s">
        <v>47</v>
      </c>
      <c r="S36" t="s">
        <v>48</v>
      </c>
      <c r="T36" s="2">
        <v>34249</v>
      </c>
      <c r="U36" t="s">
        <v>65</v>
      </c>
      <c r="V36" t="s">
        <v>56</v>
      </c>
      <c r="W36">
        <v>22</v>
      </c>
      <c r="X36" s="1">
        <v>41697</v>
      </c>
      <c r="Y36" s="1">
        <f t="shared" si="0"/>
        <v>10424.25</v>
      </c>
      <c r="Z36" s="1">
        <f t="shared" si="4"/>
        <v>31272.75</v>
      </c>
      <c r="AA36" s="3">
        <v>256</v>
      </c>
      <c r="AK36" s="3"/>
      <c r="AM36" s="4"/>
      <c r="AO36" s="4"/>
      <c r="BA36" s="2"/>
      <c r="BB36" s="2"/>
      <c r="BD36" s="4"/>
      <c r="BF36" s="4"/>
      <c r="BM36" s="2"/>
      <c r="BO36" s="4"/>
      <c r="CI36" s="2"/>
      <c r="CJ36" s="2"/>
      <c r="CN36" s="2"/>
      <c r="CQ36" s="2"/>
      <c r="CV36" s="4"/>
      <c r="CX36" s="4"/>
      <c r="DB36" s="2"/>
      <c r="DC36" s="2"/>
      <c r="DE36" s="2"/>
      <c r="DF36" s="2"/>
      <c r="DV36" s="2"/>
      <c r="DW36" s="2"/>
      <c r="EF36" s="4"/>
      <c r="EH36" s="4"/>
      <c r="ER36" s="2"/>
      <c r="ES36" s="2"/>
      <c r="EX36" s="4"/>
      <c r="EZ36" s="4"/>
      <c r="FQ36" s="4"/>
      <c r="FS36" s="4"/>
      <c r="GE36" s="2"/>
      <c r="GJ36" s="4"/>
      <c r="GL36" s="4"/>
      <c r="GR36" s="2"/>
      <c r="GV36" s="2"/>
      <c r="GY36" s="3"/>
      <c r="HB36" s="3"/>
      <c r="HP36" s="2"/>
      <c r="HU36" s="4"/>
      <c r="II36" s="4"/>
      <c r="IK36" s="4"/>
      <c r="IS36" s="2"/>
      <c r="IT36" s="2"/>
      <c r="IV36" s="2"/>
      <c r="IW36" s="4"/>
      <c r="IY36" s="4"/>
      <c r="JH36" s="2"/>
      <c r="JK36" s="4"/>
      <c r="JM36" s="4"/>
      <c r="JZ36" s="2"/>
      <c r="KD36" s="4"/>
      <c r="KF36" s="4"/>
      <c r="KJ36" s="4"/>
      <c r="KT36" s="2"/>
      <c r="KU36" s="2"/>
      <c r="KW36" s="2"/>
      <c r="LC36" s="2"/>
      <c r="LF36" s="2"/>
      <c r="LK36" s="2"/>
      <c r="LT36" s="4"/>
      <c r="LV36" s="4"/>
      <c r="NB36" s="2"/>
      <c r="NC36" s="2"/>
      <c r="NH36" s="3"/>
      <c r="NJ36" s="2"/>
      <c r="NN36" s="2"/>
      <c r="NT36" s="4"/>
      <c r="NV36" s="4"/>
      <c r="OA36" s="2"/>
      <c r="OB36" s="2"/>
      <c r="ON36" s="2"/>
      <c r="OR36" s="4"/>
      <c r="OT36" s="4"/>
      <c r="PD36" s="2"/>
      <c r="PH36" s="2"/>
      <c r="PK36" s="3"/>
      <c r="PQ36" s="2"/>
      <c r="PX36" s="2"/>
      <c r="PZ36" s="2"/>
      <c r="QF36" s="4"/>
      <c r="QH36" s="4"/>
      <c r="QZ36" s="2"/>
      <c r="RA36" s="2"/>
      <c r="RN36" s="4"/>
      <c r="RO36" s="4"/>
      <c r="RR36" s="2"/>
      <c r="RT36" s="2"/>
      <c r="RU36" s="2"/>
      <c r="SA36" s="4"/>
      <c r="SC36" s="4"/>
      <c r="SM36" s="3"/>
      <c r="SN36" s="2"/>
      <c r="SQ36" s="4"/>
      <c r="SS36" s="4"/>
      <c r="TG36" s="2"/>
      <c r="TH36" s="2"/>
      <c r="TI36" s="2"/>
      <c r="TN36" s="3"/>
      <c r="TU36" s="4"/>
      <c r="TW36" s="4"/>
    </row>
    <row r="37" spans="1:543">
      <c r="A37">
        <v>5327</v>
      </c>
      <c r="B37">
        <v>4754</v>
      </c>
      <c r="C37">
        <v>5673878387</v>
      </c>
      <c r="D37" t="s">
        <v>233</v>
      </c>
      <c r="E37" t="s">
        <v>234</v>
      </c>
      <c r="F37" t="s">
        <v>235</v>
      </c>
      <c r="G37" s="2"/>
      <c r="H37" t="s">
        <v>43</v>
      </c>
      <c r="I37" t="s">
        <v>236</v>
      </c>
      <c r="J37" t="s">
        <v>61</v>
      </c>
      <c r="K37" t="s">
        <v>237</v>
      </c>
      <c r="L37" t="s">
        <v>77</v>
      </c>
      <c r="M37" s="2">
        <v>34189</v>
      </c>
      <c r="N37" t="s">
        <v>238</v>
      </c>
      <c r="O37" s="2">
        <f>DATE(YEAR(G37) + P37, MONTH(G37), DAY(G37))</f>
        <v>22281</v>
      </c>
      <c r="P37">
        <v>61</v>
      </c>
      <c r="Q37" s="2">
        <v>42682</v>
      </c>
      <c r="R37" t="s">
        <v>36</v>
      </c>
      <c r="S37" t="s">
        <v>48</v>
      </c>
      <c r="T37" s="2">
        <v>45201</v>
      </c>
      <c r="U37" t="s">
        <v>38</v>
      </c>
      <c r="V37" t="s">
        <v>39</v>
      </c>
      <c r="W37">
        <v>26</v>
      </c>
      <c r="X37" s="1">
        <v>3604</v>
      </c>
      <c r="Y37" s="1">
        <f t="shared" si="0"/>
        <v>901</v>
      </c>
      <c r="Z37" s="1">
        <f t="shared" si="4"/>
        <v>2703</v>
      </c>
      <c r="AA37" s="3">
        <v>158</v>
      </c>
      <c r="AK37" s="3"/>
      <c r="AM37" s="4"/>
      <c r="AO37" s="4"/>
      <c r="BA37" s="2"/>
      <c r="BB37" s="2"/>
      <c r="BD37" s="4"/>
      <c r="BF37" s="4"/>
      <c r="BM37" s="2"/>
      <c r="BO37" s="4"/>
      <c r="BQ37" s="4"/>
      <c r="CI37" s="2"/>
      <c r="CJ37" s="2"/>
      <c r="CM37" s="3"/>
      <c r="CN37" s="2"/>
      <c r="CQ37" s="2"/>
      <c r="CV37" s="4"/>
      <c r="CX37" s="4"/>
      <c r="DB37" s="2"/>
      <c r="DC37" s="2"/>
      <c r="DE37" s="2"/>
      <c r="DF37" s="2"/>
      <c r="DW37" s="2"/>
      <c r="EF37" s="4"/>
      <c r="EH37" s="4"/>
      <c r="ER37" s="2"/>
      <c r="ES37" s="2"/>
      <c r="EX37" s="4"/>
      <c r="EZ37" s="4"/>
      <c r="FQ37" s="4"/>
      <c r="FS37" s="4"/>
      <c r="GD37" s="3"/>
      <c r="GE37" s="2"/>
      <c r="GG37" s="3"/>
      <c r="GJ37" s="4"/>
      <c r="GL37" s="4"/>
      <c r="GR37" s="2"/>
      <c r="GT37" s="3"/>
      <c r="GU37" s="3"/>
      <c r="GV37" s="2"/>
      <c r="GX37" s="3"/>
      <c r="HB37" s="3"/>
      <c r="HP37" s="2"/>
      <c r="HS37" s="4"/>
      <c r="HU37" s="4"/>
      <c r="II37" s="4"/>
      <c r="IK37" s="4"/>
      <c r="IS37" s="2"/>
      <c r="IT37" s="2"/>
      <c r="IV37" s="2"/>
      <c r="IW37" s="4"/>
      <c r="IY37" s="4"/>
      <c r="JH37" s="2"/>
      <c r="JM37" s="4"/>
      <c r="JZ37" s="2"/>
      <c r="KA37" s="3"/>
      <c r="KD37" s="4"/>
      <c r="KF37" s="4"/>
      <c r="KI37" s="3"/>
      <c r="KJ37" s="4"/>
      <c r="KT37" s="2"/>
      <c r="KU37" s="2"/>
      <c r="KW37" s="2"/>
      <c r="LC37" s="2"/>
      <c r="LF37" s="2"/>
      <c r="LK37" s="2"/>
      <c r="LT37" s="4"/>
      <c r="LV37" s="4"/>
      <c r="MI37" s="3"/>
      <c r="NB37" s="2"/>
      <c r="NC37" s="2"/>
      <c r="NJ37" s="2"/>
      <c r="NO37" s="2"/>
      <c r="NT37" s="4"/>
      <c r="NV37" s="4"/>
      <c r="OA37" s="2"/>
      <c r="OB37" s="2"/>
      <c r="ON37" s="2"/>
      <c r="OR37" s="4"/>
      <c r="PD37" s="2"/>
      <c r="PQ37" s="2"/>
      <c r="PX37" s="2"/>
      <c r="PZ37" s="2"/>
      <c r="QF37" s="4"/>
      <c r="QH37" s="4"/>
      <c r="QZ37" s="2"/>
      <c r="RA37" s="2"/>
      <c r="RN37" s="4"/>
      <c r="RO37" s="4"/>
      <c r="RR37" s="2"/>
      <c r="RT37" s="2"/>
      <c r="RU37" s="2"/>
      <c r="SA37" s="4"/>
      <c r="SC37" s="4"/>
      <c r="SN37" s="2"/>
      <c r="SQ37" s="4"/>
      <c r="SS37" s="4"/>
      <c r="TG37" s="2"/>
      <c r="TH37" s="2"/>
      <c r="TI37" s="2"/>
      <c r="TP37" s="3"/>
      <c r="TU37" s="4"/>
      <c r="TW37" s="4"/>
    </row>
    <row r="38" spans="1:543">
      <c r="A38">
        <v>5778</v>
      </c>
      <c r="B38">
        <v>4510</v>
      </c>
      <c r="C38">
        <v>4917801538</v>
      </c>
      <c r="D38" t="s">
        <v>72</v>
      </c>
      <c r="E38" t="s">
        <v>239</v>
      </c>
      <c r="F38" t="s">
        <v>240</v>
      </c>
      <c r="G38" s="2">
        <v>36738</v>
      </c>
      <c r="H38" t="s">
        <v>43</v>
      </c>
      <c r="I38" t="s">
        <v>70</v>
      </c>
      <c r="J38" t="s">
        <v>32</v>
      </c>
      <c r="K38" t="s">
        <v>241</v>
      </c>
      <c r="L38" t="s">
        <v>34</v>
      </c>
      <c r="M38" s="2"/>
      <c r="N38" t="s">
        <v>242</v>
      </c>
      <c r="O38" s="2">
        <f>DATE(YEAR(G38) + P38, MONTH(G38), DAY(G38))</f>
        <v>59018</v>
      </c>
      <c r="P38">
        <v>61</v>
      </c>
      <c r="Q38" s="2">
        <v>41908</v>
      </c>
      <c r="R38" t="s">
        <v>36</v>
      </c>
      <c r="S38" t="s">
        <v>181</v>
      </c>
      <c r="T38" s="2">
        <v>22677</v>
      </c>
      <c r="U38" t="s">
        <v>49</v>
      </c>
      <c r="V38" t="s">
        <v>38</v>
      </c>
      <c r="W38">
        <v>24</v>
      </c>
      <c r="X38" s="1">
        <v>38996</v>
      </c>
      <c r="Y38" s="1">
        <f t="shared" si="0"/>
        <v>9749</v>
      </c>
      <c r="Z38" s="1">
        <f t="shared" si="4"/>
        <v>29247</v>
      </c>
      <c r="AA38" s="3">
        <v>854</v>
      </c>
      <c r="AK38" s="3"/>
      <c r="AM38" s="4"/>
      <c r="AO38" s="4"/>
      <c r="BA38" s="2"/>
      <c r="BB38" s="2"/>
      <c r="BD38" s="4"/>
      <c r="BF38" s="4"/>
      <c r="BM38" s="2"/>
      <c r="BO38" s="4"/>
      <c r="BQ38" s="4"/>
      <c r="CI38" s="2"/>
      <c r="CJ38" s="2"/>
      <c r="CN38" s="2"/>
      <c r="CQ38" s="2"/>
      <c r="CV38" s="4"/>
      <c r="CX38" s="4"/>
      <c r="DB38" s="2"/>
      <c r="DC38" s="2"/>
      <c r="DE38" s="2"/>
      <c r="DV38" s="2"/>
      <c r="DW38" s="2"/>
      <c r="EF38" s="4"/>
      <c r="EH38" s="4"/>
      <c r="ER38" s="2"/>
      <c r="ES38" s="2"/>
      <c r="EX38" s="4"/>
      <c r="EZ38" s="4"/>
      <c r="FQ38" s="4"/>
      <c r="FS38" s="4"/>
      <c r="GE38" s="2"/>
      <c r="GJ38" s="4"/>
      <c r="GL38" s="4"/>
      <c r="GR38" s="2"/>
      <c r="GT38" s="3"/>
      <c r="GV38" s="2"/>
      <c r="GX38" s="3"/>
      <c r="HB38" s="3"/>
      <c r="HP38" s="2"/>
      <c r="HS38" s="4"/>
      <c r="HU38" s="4"/>
      <c r="IF38" s="3"/>
      <c r="II38" s="4"/>
      <c r="IK38" s="4"/>
      <c r="IS38" s="2"/>
      <c r="IT38" s="2"/>
      <c r="IV38" s="2"/>
      <c r="IW38" s="4"/>
      <c r="IY38" s="4"/>
      <c r="JH38" s="2"/>
      <c r="JK38" s="4"/>
      <c r="JM38" s="4"/>
      <c r="JZ38" s="2"/>
      <c r="KD38" s="4"/>
      <c r="KF38" s="4"/>
      <c r="KJ38" s="4"/>
      <c r="KU38" s="2"/>
      <c r="KW38" s="2"/>
      <c r="LC38" s="2"/>
      <c r="LF38" s="2"/>
      <c r="LK38" s="2"/>
      <c r="LT38" s="4"/>
      <c r="LV38" s="4"/>
      <c r="NB38" s="2"/>
      <c r="NC38" s="2"/>
      <c r="NJ38" s="2"/>
      <c r="NN38" s="2"/>
      <c r="NO38" s="2"/>
      <c r="NT38" s="4"/>
      <c r="NV38" s="4"/>
      <c r="OB38" s="2"/>
      <c r="OR38" s="4"/>
      <c r="OT38" s="4"/>
      <c r="PD38" s="2"/>
      <c r="PH38" s="2"/>
      <c r="PQ38" s="2"/>
      <c r="PX38" s="2"/>
      <c r="PZ38" s="2"/>
      <c r="QF38" s="4"/>
      <c r="QH38" s="4"/>
      <c r="QZ38" s="2"/>
      <c r="RA38" s="2"/>
      <c r="RN38" s="4"/>
      <c r="RO38" s="4"/>
      <c r="RR38" s="2"/>
      <c r="RT38" s="2"/>
      <c r="RU38" s="2"/>
      <c r="SA38" s="4"/>
      <c r="SC38" s="4"/>
      <c r="SM38" s="3"/>
      <c r="SN38" s="2"/>
      <c r="SS38" s="4"/>
      <c r="TG38" s="2"/>
      <c r="TH38" s="2"/>
      <c r="TI38" s="2"/>
      <c r="TU38" s="4"/>
      <c r="TW38" s="4"/>
    </row>
    <row r="39" spans="1:543">
      <c r="A39">
        <v>3609</v>
      </c>
      <c r="B39">
        <v>1366</v>
      </c>
      <c r="C39">
        <v>5410296920</v>
      </c>
      <c r="D39" t="s">
        <v>243</v>
      </c>
      <c r="E39" t="s">
        <v>244</v>
      </c>
      <c r="F39" t="s">
        <v>245</v>
      </c>
      <c r="G39" s="2">
        <v>29459</v>
      </c>
      <c r="H39" t="s">
        <v>43</v>
      </c>
      <c r="I39" t="s">
        <v>60</v>
      </c>
      <c r="J39" t="s">
        <v>32</v>
      </c>
      <c r="K39" t="s">
        <v>246</v>
      </c>
      <c r="L39" t="s">
        <v>34</v>
      </c>
      <c r="M39" s="2"/>
      <c r="N39" t="s">
        <v>247</v>
      </c>
      <c r="O39" s="2">
        <f>DATE(YEAR(G39) + P39, MONTH(G39), DAY(G39))</f>
        <v>52469</v>
      </c>
      <c r="P39">
        <v>63</v>
      </c>
      <c r="Q39" s="2"/>
      <c r="R39" t="s">
        <v>47</v>
      </c>
      <c r="S39" t="s">
        <v>109</v>
      </c>
      <c r="T39" s="2">
        <v>44897</v>
      </c>
      <c r="U39" t="s">
        <v>38</v>
      </c>
      <c r="V39" t="s">
        <v>38</v>
      </c>
      <c r="W39">
        <v>24</v>
      </c>
      <c r="X39" s="1">
        <v>17507</v>
      </c>
      <c r="Y39" s="1">
        <f t="shared" si="0"/>
        <v>4376.75</v>
      </c>
      <c r="Z39" s="1">
        <f t="shared" si="4"/>
        <v>13130.25</v>
      </c>
      <c r="AA39" s="3">
        <v>20</v>
      </c>
      <c r="AB39" s="3"/>
      <c r="AJ39" s="3"/>
      <c r="AK39" s="3"/>
      <c r="AM39" s="4"/>
      <c r="AO39" s="4"/>
      <c r="BA39" s="2"/>
      <c r="BB39" s="2"/>
      <c r="BD39" s="4"/>
      <c r="BF39" s="4"/>
      <c r="BM39" s="2"/>
      <c r="BO39" s="4"/>
      <c r="BQ39" s="4"/>
      <c r="CI39" s="2"/>
      <c r="CJ39" s="2"/>
      <c r="CN39" s="2"/>
      <c r="CQ39" s="2"/>
      <c r="CX39" s="4"/>
      <c r="DC39" s="2"/>
      <c r="DE39" s="2"/>
      <c r="DF39" s="2"/>
      <c r="DV39" s="2"/>
      <c r="DW39" s="2"/>
      <c r="EF39" s="4"/>
      <c r="EH39" s="4"/>
      <c r="ER39" s="2"/>
      <c r="ES39" s="2"/>
      <c r="EX39" s="4"/>
      <c r="EZ39" s="4"/>
      <c r="FQ39" s="4"/>
      <c r="FS39" s="4"/>
      <c r="GJ39" s="4"/>
      <c r="GL39" s="4"/>
      <c r="GR39" s="2"/>
      <c r="GT39" s="3"/>
      <c r="GU39" s="3"/>
      <c r="GV39" s="2"/>
      <c r="GX39" s="3"/>
      <c r="HP39" s="2"/>
      <c r="HS39" s="4"/>
      <c r="HU39" s="4"/>
      <c r="II39" s="4"/>
      <c r="IK39" s="4"/>
      <c r="IS39" s="2"/>
      <c r="IT39" s="2"/>
      <c r="IV39" s="2"/>
      <c r="IW39" s="4"/>
      <c r="IY39" s="4"/>
      <c r="JH39" s="2"/>
      <c r="JK39" s="4"/>
      <c r="JM39" s="4"/>
      <c r="JZ39" s="2"/>
      <c r="KD39" s="4"/>
      <c r="KF39" s="4"/>
      <c r="KJ39" s="4"/>
      <c r="KT39" s="2"/>
      <c r="KU39" s="2"/>
      <c r="LC39" s="2"/>
      <c r="LF39" s="2"/>
      <c r="LK39" s="2"/>
      <c r="LT39" s="4"/>
      <c r="LV39" s="4"/>
      <c r="ML39" s="3"/>
      <c r="MN39" s="5"/>
      <c r="NB39" s="2"/>
      <c r="NJ39" s="2"/>
      <c r="NN39" s="2"/>
      <c r="NO39" s="2"/>
      <c r="NT39" s="4"/>
      <c r="NV39" s="4"/>
      <c r="OA39" s="2"/>
      <c r="OB39" s="2"/>
      <c r="ON39" s="2"/>
      <c r="OR39" s="4"/>
      <c r="OT39" s="4"/>
      <c r="PD39" s="2"/>
      <c r="PH39" s="2"/>
      <c r="PQ39" s="2"/>
      <c r="PX39" s="2"/>
      <c r="PZ39" s="2"/>
      <c r="QF39" s="4"/>
      <c r="QH39" s="4"/>
      <c r="QJ39" s="3"/>
      <c r="QZ39" s="2"/>
      <c r="RA39" s="2"/>
      <c r="RN39" s="4"/>
      <c r="RO39" s="4"/>
      <c r="RR39" s="2"/>
      <c r="RT39" s="2"/>
      <c r="RU39" s="2"/>
      <c r="SA39" s="4"/>
      <c r="SC39" s="4"/>
      <c r="SQ39" s="4"/>
      <c r="SS39" s="4"/>
      <c r="TG39" s="2"/>
      <c r="TH39" s="2"/>
      <c r="TI39" s="2"/>
      <c r="TU39" s="4"/>
    </row>
    <row r="40" spans="1:543">
      <c r="A40">
        <v>5816</v>
      </c>
      <c r="B40">
        <v>3727</v>
      </c>
      <c r="C40" s="3" t="s">
        <v>248</v>
      </c>
      <c r="D40" t="s">
        <v>50</v>
      </c>
      <c r="E40" t="s">
        <v>249</v>
      </c>
      <c r="F40" t="s">
        <v>250</v>
      </c>
      <c r="G40" s="2">
        <v>26267</v>
      </c>
      <c r="H40" t="s">
        <v>30</v>
      </c>
      <c r="I40" t="s">
        <v>130</v>
      </c>
      <c r="J40" t="s">
        <v>32</v>
      </c>
      <c r="K40" t="s">
        <v>251</v>
      </c>
      <c r="L40" t="s">
        <v>77</v>
      </c>
      <c r="M40" s="2"/>
      <c r="N40" t="s">
        <v>252</v>
      </c>
      <c r="O40" s="2">
        <f>DATE(YEAR(G40) + P40, MONTH(G40), DAY(G40))</f>
        <v>48548</v>
      </c>
      <c r="P40">
        <v>61</v>
      </c>
      <c r="Q40" s="2"/>
      <c r="R40" t="s">
        <v>47</v>
      </c>
      <c r="S40" t="s">
        <v>48</v>
      </c>
      <c r="T40" s="2">
        <v>28412</v>
      </c>
      <c r="U40" t="s">
        <v>38</v>
      </c>
      <c r="V40" t="s">
        <v>39</v>
      </c>
      <c r="W40">
        <v>22</v>
      </c>
      <c r="X40" s="1">
        <v>24650</v>
      </c>
      <c r="Y40" s="1">
        <f t="shared" si="0"/>
        <v>6162.5</v>
      </c>
      <c r="Z40" s="1">
        <f t="shared" si="4"/>
        <v>18487.5</v>
      </c>
      <c r="AA40" s="3">
        <v>531</v>
      </c>
      <c r="AK40" s="3"/>
      <c r="AM40" s="4"/>
      <c r="AO40" s="4"/>
      <c r="BA40" s="2"/>
      <c r="BB40" s="2"/>
      <c r="BD40" s="4"/>
      <c r="BF40" s="4"/>
      <c r="BM40" s="2"/>
      <c r="BO40" s="4"/>
      <c r="CI40" s="2"/>
      <c r="CN40" s="2"/>
      <c r="CQ40" s="2"/>
      <c r="CV40" s="4"/>
      <c r="CX40" s="4"/>
      <c r="DB40" s="2"/>
      <c r="DC40" s="2"/>
      <c r="DE40" s="2"/>
      <c r="DF40" s="2"/>
      <c r="DV40" s="2"/>
      <c r="DW40" s="2"/>
      <c r="EF40" s="4"/>
      <c r="EH40" s="4"/>
      <c r="ER40" s="2"/>
      <c r="ES40" s="2"/>
      <c r="EX40" s="4"/>
      <c r="EZ40" s="4"/>
      <c r="FQ40" s="4"/>
      <c r="FS40" s="4"/>
      <c r="GE40" s="2"/>
      <c r="GJ40" s="4"/>
      <c r="GL40" s="4"/>
      <c r="GR40" s="2"/>
      <c r="GS40" s="3"/>
      <c r="GV40" s="2"/>
      <c r="GX40" s="3"/>
      <c r="HP40" s="2"/>
      <c r="HS40" s="4"/>
      <c r="HU40" s="4"/>
      <c r="IK40" s="4"/>
      <c r="IS40" s="2"/>
      <c r="IT40" s="2"/>
      <c r="IV40" s="2"/>
      <c r="IW40" s="4"/>
      <c r="IY40" s="4"/>
      <c r="JH40" s="2"/>
      <c r="JK40" s="4"/>
      <c r="JM40" s="4"/>
      <c r="JZ40" s="2"/>
      <c r="KD40" s="4"/>
      <c r="KF40" s="4"/>
      <c r="KJ40" s="4"/>
      <c r="KT40" s="2"/>
      <c r="KU40" s="2"/>
      <c r="KW40" s="2"/>
      <c r="LC40" s="2"/>
      <c r="LF40" s="2"/>
      <c r="LK40" s="2"/>
      <c r="LT40" s="4"/>
      <c r="LV40" s="4"/>
      <c r="MA40" s="3"/>
      <c r="NB40" s="2"/>
      <c r="NC40" s="2"/>
      <c r="NJ40" s="2"/>
      <c r="NN40" s="2"/>
      <c r="NO40" s="2"/>
      <c r="NT40" s="4"/>
      <c r="NV40" s="4"/>
      <c r="OA40" s="2"/>
      <c r="OB40" s="2"/>
      <c r="ON40" s="2"/>
      <c r="OR40" s="4"/>
      <c r="OT40" s="4"/>
      <c r="PD40" s="2"/>
      <c r="PH40" s="2"/>
      <c r="PQ40" s="2"/>
      <c r="PX40" s="2"/>
      <c r="PZ40" s="2"/>
      <c r="QF40" s="4"/>
      <c r="QH40" s="4"/>
      <c r="QZ40" s="2"/>
      <c r="RA40" s="2"/>
      <c r="RN40" s="4"/>
      <c r="RO40" s="4"/>
      <c r="RR40" s="2"/>
      <c r="RT40" s="2"/>
      <c r="RU40" s="2"/>
      <c r="SA40" s="4"/>
      <c r="SC40" s="4"/>
      <c r="SN40" s="2"/>
      <c r="SQ40" s="4"/>
      <c r="SS40" s="4"/>
      <c r="TG40" s="2"/>
      <c r="TH40" s="2"/>
      <c r="TI40" s="2"/>
      <c r="TU40" s="4"/>
    </row>
    <row r="41" spans="1:543">
      <c r="A41">
        <v>6940</v>
      </c>
      <c r="B41">
        <v>7502</v>
      </c>
      <c r="C41">
        <v>1274139766</v>
      </c>
      <c r="D41" t="s">
        <v>253</v>
      </c>
      <c r="E41" t="s">
        <v>254</v>
      </c>
      <c r="F41" t="s">
        <v>255</v>
      </c>
      <c r="G41" s="2">
        <v>40451</v>
      </c>
      <c r="H41" t="s">
        <v>30</v>
      </c>
      <c r="I41" t="s">
        <v>236</v>
      </c>
      <c r="J41" t="s">
        <v>32</v>
      </c>
      <c r="K41" t="s">
        <v>256</v>
      </c>
      <c r="L41" t="s">
        <v>77</v>
      </c>
      <c r="N41" t="s">
        <v>257</v>
      </c>
      <c r="O41" s="2">
        <f>DATE(YEAR(G41) + P41, MONTH(G41), DAY(G41))</f>
        <v>64192</v>
      </c>
      <c r="P41">
        <v>65</v>
      </c>
      <c r="Q41" s="2"/>
      <c r="R41" t="s">
        <v>47</v>
      </c>
      <c r="S41" t="s">
        <v>181</v>
      </c>
      <c r="T41" s="2">
        <v>39450</v>
      </c>
      <c r="U41" t="s">
        <v>38</v>
      </c>
      <c r="V41" t="s">
        <v>38</v>
      </c>
      <c r="W41">
        <v>16</v>
      </c>
      <c r="X41" s="1">
        <v>46339</v>
      </c>
      <c r="Y41" s="1">
        <f t="shared" si="0"/>
        <v>11584.75</v>
      </c>
      <c r="Z41" s="1">
        <f t="shared" si="4"/>
        <v>34754.25</v>
      </c>
      <c r="AA41" s="3">
        <v>968</v>
      </c>
      <c r="AK41" s="3"/>
      <c r="AM41" s="4"/>
      <c r="AO41" s="4"/>
      <c r="BA41" s="2"/>
      <c r="BB41" s="2"/>
      <c r="BD41" s="4"/>
      <c r="BF41" s="4"/>
      <c r="BM41" s="2"/>
      <c r="BO41" s="4"/>
      <c r="BQ41" s="4"/>
      <c r="CI41" s="2"/>
      <c r="CJ41" s="2"/>
      <c r="CN41" s="2"/>
      <c r="CQ41" s="2"/>
      <c r="CV41" s="4"/>
      <c r="CX41" s="4"/>
      <c r="DB41" s="2"/>
      <c r="DC41" s="2"/>
      <c r="DE41" s="2"/>
      <c r="DF41" s="2"/>
      <c r="DG41" s="3"/>
      <c r="DV41" s="2"/>
      <c r="DW41" s="2"/>
      <c r="EF41" s="4"/>
      <c r="EH41" s="4"/>
      <c r="ER41" s="2"/>
      <c r="ES41" s="2"/>
      <c r="EX41" s="4"/>
      <c r="EZ41" s="4"/>
      <c r="FQ41" s="4"/>
      <c r="FS41" s="4"/>
      <c r="GE41" s="2"/>
      <c r="GJ41" s="4"/>
      <c r="GL41" s="4"/>
      <c r="GR41" s="2"/>
      <c r="GT41" s="3"/>
      <c r="GU41" s="3"/>
      <c r="GV41" s="2"/>
      <c r="HB41" s="3"/>
      <c r="HP41" s="2"/>
      <c r="HS41" s="4"/>
      <c r="HU41" s="4"/>
      <c r="II41" s="4"/>
      <c r="IK41" s="4"/>
      <c r="IS41" s="2"/>
      <c r="IT41" s="2"/>
      <c r="IV41" s="2"/>
      <c r="IW41" s="4"/>
      <c r="IY41" s="4"/>
      <c r="JH41" s="2"/>
      <c r="JK41" s="4"/>
      <c r="JM41" s="4"/>
      <c r="JZ41" s="2"/>
      <c r="KD41" s="4"/>
      <c r="KF41" s="4"/>
      <c r="KJ41" s="4"/>
      <c r="KT41" s="2"/>
      <c r="KU41" s="2"/>
      <c r="KW41" s="2"/>
      <c r="LC41" s="2"/>
      <c r="LF41" s="2"/>
      <c r="LK41" s="2"/>
      <c r="LT41" s="4"/>
      <c r="LV41" s="4"/>
      <c r="NB41" s="2"/>
      <c r="NC41" s="2"/>
      <c r="NJ41" s="2"/>
      <c r="NN41" s="2"/>
      <c r="NO41" s="2"/>
      <c r="NT41" s="4"/>
      <c r="NV41" s="4"/>
      <c r="OA41" s="2"/>
      <c r="OB41" s="2"/>
      <c r="ON41" s="2"/>
      <c r="OR41" s="4"/>
      <c r="OT41" s="4"/>
      <c r="PD41" s="2"/>
      <c r="PH41" s="2"/>
      <c r="PQ41" s="2"/>
      <c r="PX41" s="2"/>
      <c r="PZ41" s="2"/>
      <c r="QF41" s="4"/>
      <c r="QH41" s="4"/>
      <c r="QZ41" s="2"/>
      <c r="RA41" s="2"/>
      <c r="RN41" s="4"/>
      <c r="RO41" s="4"/>
      <c r="RT41" s="2"/>
      <c r="RU41" s="2"/>
      <c r="SA41" s="4"/>
      <c r="SC41" s="4"/>
      <c r="SN41" s="2"/>
      <c r="SQ41" s="4"/>
      <c r="SS41" s="4"/>
      <c r="TG41" s="2"/>
      <c r="TI41" s="2"/>
      <c r="TU41" s="4"/>
      <c r="TW41" s="4"/>
    </row>
    <row r="42" spans="1:543">
      <c r="A42">
        <v>4299</v>
      </c>
      <c r="B42">
        <v>1419</v>
      </c>
      <c r="C42">
        <v>6398808681</v>
      </c>
      <c r="D42" t="s">
        <v>134</v>
      </c>
      <c r="E42" t="s">
        <v>258</v>
      </c>
      <c r="F42" t="s">
        <v>259</v>
      </c>
      <c r="G42" s="2">
        <v>39787</v>
      </c>
      <c r="H42" t="s">
        <v>43</v>
      </c>
      <c r="I42" t="s">
        <v>260</v>
      </c>
      <c r="J42" t="s">
        <v>32</v>
      </c>
      <c r="K42" t="s">
        <v>261</v>
      </c>
      <c r="L42" t="s">
        <v>77</v>
      </c>
      <c r="M42" s="2"/>
      <c r="N42" t="s">
        <v>262</v>
      </c>
      <c r="O42" s="2">
        <f>DATE(YEAR(G42) + P42, MONTH(G42), DAY(G42))</f>
        <v>63528</v>
      </c>
      <c r="P42">
        <v>65</v>
      </c>
      <c r="Q42" s="2"/>
      <c r="R42" t="s">
        <v>47</v>
      </c>
      <c r="S42" t="s">
        <v>109</v>
      </c>
      <c r="T42" s="2">
        <v>40470</v>
      </c>
      <c r="U42" t="s">
        <v>38</v>
      </c>
      <c r="V42" t="s">
        <v>38</v>
      </c>
      <c r="W42">
        <v>17</v>
      </c>
      <c r="X42" s="1">
        <v>65416</v>
      </c>
      <c r="Y42" s="1">
        <f t="shared" si="0"/>
        <v>16354</v>
      </c>
      <c r="Z42" s="1">
        <f t="shared" si="4"/>
        <v>49062</v>
      </c>
      <c r="AA42" s="3">
        <v>845</v>
      </c>
      <c r="AB42" s="3"/>
      <c r="AK42" s="3"/>
      <c r="AM42" s="4"/>
      <c r="AO42" s="4"/>
      <c r="BA42" s="2"/>
      <c r="BB42" s="2"/>
      <c r="BD42" s="4"/>
      <c r="BF42" s="4"/>
      <c r="BM42" s="2"/>
      <c r="BO42" s="4"/>
      <c r="BQ42" s="4"/>
      <c r="CH42" s="3"/>
      <c r="CI42" s="2"/>
      <c r="CJ42" s="2"/>
      <c r="CN42" s="2"/>
      <c r="CP42" s="3"/>
      <c r="CQ42" s="2"/>
      <c r="CV42" s="4"/>
      <c r="DB42" s="2"/>
      <c r="DC42" s="2"/>
      <c r="DE42" s="2"/>
      <c r="DF42" s="2"/>
      <c r="DV42" s="2"/>
      <c r="DW42" s="2"/>
      <c r="EF42" s="4"/>
      <c r="EH42" s="4"/>
      <c r="ER42" s="2"/>
      <c r="ES42" s="2"/>
      <c r="EX42" s="4"/>
      <c r="EZ42" s="4"/>
      <c r="FQ42" s="4"/>
      <c r="FS42" s="4"/>
      <c r="GD42" s="3"/>
      <c r="GE42" s="2"/>
      <c r="GJ42" s="4"/>
      <c r="GL42" s="4"/>
      <c r="GR42" s="2"/>
      <c r="GT42" s="3"/>
      <c r="GU42" s="3"/>
      <c r="GV42" s="2"/>
      <c r="GY42" s="3"/>
      <c r="HB42" s="3"/>
      <c r="HP42" s="2"/>
      <c r="HS42" s="4"/>
      <c r="HU42" s="4"/>
      <c r="II42" s="4"/>
      <c r="IK42" s="4"/>
      <c r="IS42" s="2"/>
      <c r="IT42" s="2"/>
      <c r="IV42" s="2"/>
      <c r="IW42" s="4"/>
      <c r="IY42" s="4"/>
      <c r="JH42" s="2"/>
      <c r="JK42" s="4"/>
      <c r="JZ42" s="2"/>
      <c r="KD42" s="4"/>
      <c r="KF42" s="4"/>
      <c r="KJ42" s="4"/>
      <c r="KT42" s="2"/>
      <c r="KU42" s="2"/>
      <c r="KW42" s="2"/>
      <c r="LC42" s="2"/>
      <c r="LF42" s="2"/>
      <c r="LK42" s="2"/>
      <c r="LT42" s="4"/>
      <c r="LV42" s="4"/>
      <c r="MJ42" s="3"/>
      <c r="ML42" s="3"/>
      <c r="NB42" s="2"/>
      <c r="NC42" s="2"/>
      <c r="NJ42" s="2"/>
      <c r="NM42" s="3"/>
      <c r="NN42" s="2"/>
      <c r="NO42" s="2"/>
      <c r="NT42" s="4"/>
      <c r="NV42" s="4"/>
      <c r="OA42" s="2"/>
      <c r="OB42" s="2"/>
      <c r="ON42" s="2"/>
      <c r="OR42" s="4"/>
      <c r="OT42" s="4"/>
      <c r="PD42" s="2"/>
      <c r="PH42" s="2"/>
      <c r="PK42" s="3"/>
      <c r="PN42" s="3"/>
      <c r="PQ42" s="2"/>
      <c r="PX42" s="2"/>
      <c r="PZ42" s="2"/>
      <c r="QH42" s="4"/>
      <c r="QZ42" s="2"/>
      <c r="RA42" s="2"/>
      <c r="RN42" s="4"/>
      <c r="RO42" s="4"/>
      <c r="RR42" s="2"/>
      <c r="RT42" s="2"/>
      <c r="RU42" s="2"/>
      <c r="SA42" s="4"/>
      <c r="SC42" s="4"/>
      <c r="SN42" s="2"/>
      <c r="SQ42" s="4"/>
      <c r="SS42" s="4"/>
      <c r="TG42" s="2"/>
      <c r="TH42" s="2"/>
      <c r="TI42" s="2"/>
      <c r="TU42" s="4"/>
      <c r="TW42" s="4"/>
    </row>
    <row r="43" spans="1:543">
      <c r="A43">
        <v>289</v>
      </c>
      <c r="B43">
        <v>9863</v>
      </c>
      <c r="C43">
        <v>3262046702</v>
      </c>
      <c r="D43" t="s">
        <v>222</v>
      </c>
      <c r="E43" t="s">
        <v>263</v>
      </c>
      <c r="F43" t="s">
        <v>264</v>
      </c>
      <c r="G43" s="2">
        <v>40501</v>
      </c>
      <c r="H43" t="s">
        <v>43</v>
      </c>
      <c r="I43" t="s">
        <v>31</v>
      </c>
      <c r="J43" t="s">
        <v>32</v>
      </c>
      <c r="K43" t="s">
        <v>265</v>
      </c>
      <c r="L43" t="s">
        <v>77</v>
      </c>
      <c r="M43" s="2"/>
      <c r="N43" t="s">
        <v>266</v>
      </c>
      <c r="O43" s="2">
        <f>DATE(YEAR(G43) + P43, MONTH(G43), DAY(G43))</f>
        <v>77025</v>
      </c>
      <c r="P43">
        <v>100</v>
      </c>
      <c r="Q43" s="2"/>
      <c r="R43" t="s">
        <v>47</v>
      </c>
      <c r="S43" t="s">
        <v>64</v>
      </c>
      <c r="T43" s="2">
        <v>44135</v>
      </c>
      <c r="U43" t="s">
        <v>65</v>
      </c>
      <c r="V43" t="s">
        <v>56</v>
      </c>
      <c r="W43">
        <v>4</v>
      </c>
      <c r="X43" s="1">
        <v>45147</v>
      </c>
      <c r="Y43" s="1">
        <f t="shared" si="0"/>
        <v>11286.75</v>
      </c>
      <c r="Z43" s="1">
        <f t="shared" si="4"/>
        <v>33860.25</v>
      </c>
      <c r="AA43" s="3">
        <v>663</v>
      </c>
      <c r="AB43" s="3"/>
      <c r="AK43" s="3"/>
      <c r="AM43" s="4"/>
      <c r="AO43" s="4"/>
      <c r="BA43" s="2"/>
      <c r="BB43" s="2"/>
      <c r="BD43" s="4"/>
      <c r="BF43" s="4"/>
      <c r="BO43" s="4"/>
      <c r="BQ43" s="4"/>
      <c r="CI43" s="2"/>
      <c r="CJ43" s="2"/>
      <c r="CQ43" s="2"/>
      <c r="CV43" s="4"/>
      <c r="CX43" s="4"/>
      <c r="DB43" s="2"/>
      <c r="DC43" s="2"/>
      <c r="DD43" s="3"/>
      <c r="DE43" s="2"/>
      <c r="DF43" s="2"/>
      <c r="DV43" s="2"/>
      <c r="DW43" s="2"/>
      <c r="EF43" s="4"/>
      <c r="EH43" s="4"/>
      <c r="ER43" s="2"/>
      <c r="ES43" s="2"/>
      <c r="EU43" s="3"/>
      <c r="EX43" s="4"/>
      <c r="EZ43" s="4"/>
      <c r="FS43" s="4"/>
      <c r="GE43" s="2"/>
      <c r="GJ43" s="4"/>
      <c r="GL43" s="4"/>
      <c r="GU43" s="3"/>
      <c r="GV43" s="2"/>
      <c r="HB43" s="3"/>
      <c r="HN43" s="3"/>
      <c r="HP43" s="2"/>
      <c r="HS43" s="4"/>
      <c r="HU43" s="4"/>
      <c r="II43" s="4"/>
      <c r="IK43" s="4"/>
      <c r="IS43" s="2"/>
      <c r="IT43" s="2"/>
      <c r="IV43" s="2"/>
      <c r="IW43" s="4"/>
      <c r="JH43" s="2"/>
      <c r="JK43" s="4"/>
      <c r="JM43" s="4"/>
      <c r="JZ43" s="2"/>
      <c r="KD43" s="4"/>
      <c r="KF43" s="4"/>
      <c r="KI43" s="3"/>
      <c r="KJ43" s="4"/>
      <c r="KT43" s="2"/>
      <c r="KU43" s="2"/>
      <c r="KW43" s="2"/>
      <c r="LC43" s="2"/>
      <c r="LK43" s="2"/>
      <c r="LT43" s="4"/>
      <c r="LV43" s="4"/>
      <c r="NB43" s="2"/>
      <c r="NC43" s="2"/>
      <c r="NH43" s="3"/>
      <c r="NJ43" s="2"/>
      <c r="NM43" s="3"/>
      <c r="NN43" s="2"/>
      <c r="NO43" s="2"/>
      <c r="NT43" s="4"/>
      <c r="NV43" s="4"/>
      <c r="OA43" s="2"/>
      <c r="OB43" s="2"/>
      <c r="ON43" s="2"/>
      <c r="OT43" s="4"/>
      <c r="PH43" s="2"/>
      <c r="PQ43" s="2"/>
      <c r="PX43" s="2"/>
      <c r="PZ43" s="2"/>
      <c r="QF43" s="4"/>
      <c r="QH43" s="4"/>
      <c r="QZ43" s="2"/>
      <c r="RA43" s="2"/>
      <c r="RN43" s="4"/>
      <c r="RO43" s="4"/>
      <c r="RT43" s="2"/>
      <c r="RU43" s="2"/>
      <c r="SA43" s="4"/>
      <c r="SC43" s="4"/>
      <c r="SN43" s="2"/>
      <c r="SQ43" s="4"/>
      <c r="SS43" s="4"/>
      <c r="TG43" s="2"/>
      <c r="TH43" s="2"/>
      <c r="TU43" s="4"/>
      <c r="TW43" s="4"/>
    </row>
    <row r="44" spans="1:543">
      <c r="A44">
        <v>4758</v>
      </c>
      <c r="B44">
        <v>9960</v>
      </c>
      <c r="C44">
        <v>6040902025</v>
      </c>
      <c r="D44" t="s">
        <v>267</v>
      </c>
      <c r="E44" t="s">
        <v>268</v>
      </c>
      <c r="F44" t="s">
        <v>269</v>
      </c>
      <c r="G44" s="2">
        <v>24214</v>
      </c>
      <c r="H44" t="s">
        <v>43</v>
      </c>
      <c r="I44" t="s">
        <v>124</v>
      </c>
      <c r="J44" t="s">
        <v>61</v>
      </c>
      <c r="K44" t="s">
        <v>270</v>
      </c>
      <c r="L44" t="s">
        <v>77</v>
      </c>
      <c r="M44" s="2">
        <v>25354</v>
      </c>
      <c r="N44" t="s">
        <v>271</v>
      </c>
      <c r="O44" s="2">
        <f>DATE(YEAR(G44) + P44, MONTH(G44), DAY(G44))</f>
        <v>49782</v>
      </c>
      <c r="P44">
        <v>70</v>
      </c>
      <c r="Q44" s="2"/>
      <c r="R44" t="s">
        <v>47</v>
      </c>
      <c r="S44" t="s">
        <v>64</v>
      </c>
      <c r="T44" s="2">
        <v>40445</v>
      </c>
      <c r="U44" t="s">
        <v>65</v>
      </c>
      <c r="V44" t="s">
        <v>56</v>
      </c>
      <c r="W44">
        <v>3</v>
      </c>
      <c r="X44" s="1">
        <v>58223</v>
      </c>
      <c r="Y44" s="1">
        <f t="shared" si="0"/>
        <v>14555.75</v>
      </c>
      <c r="Z44" s="1">
        <f t="shared" si="4"/>
        <v>43667.25</v>
      </c>
      <c r="AA44" s="3">
        <v>774</v>
      </c>
      <c r="AK44" s="3"/>
      <c r="AM44" s="4"/>
      <c r="AO44" s="4"/>
      <c r="BA44" s="2"/>
      <c r="BB44" s="2"/>
      <c r="BD44" s="4"/>
      <c r="BF44" s="4"/>
      <c r="BM44" s="2"/>
      <c r="BO44" s="4"/>
      <c r="BQ44" s="4"/>
      <c r="CF44" s="3"/>
      <c r="CI44" s="2"/>
      <c r="CJ44" s="2"/>
      <c r="CN44" s="2"/>
      <c r="CQ44" s="2"/>
      <c r="CV44" s="4"/>
      <c r="CX44" s="4"/>
      <c r="DB44" s="2"/>
      <c r="DC44" s="2"/>
      <c r="DE44" s="2"/>
      <c r="DF44" s="2"/>
      <c r="DV44" s="2"/>
      <c r="DW44" s="2"/>
      <c r="EF44" s="4"/>
      <c r="EH44" s="4"/>
      <c r="ER44" s="2"/>
      <c r="ES44" s="2"/>
      <c r="EX44" s="4"/>
      <c r="EZ44" s="4"/>
      <c r="FQ44" s="4"/>
      <c r="FS44" s="4"/>
      <c r="GE44" s="2"/>
      <c r="GJ44" s="4"/>
      <c r="GL44" s="4"/>
      <c r="GR44" s="2"/>
      <c r="GV44" s="2"/>
      <c r="GX44" s="3"/>
      <c r="GY44" s="3"/>
      <c r="HP44" s="2"/>
      <c r="HS44" s="4"/>
      <c r="HU44" s="4"/>
      <c r="II44" s="4"/>
      <c r="IK44" s="4"/>
      <c r="IS44" s="2"/>
      <c r="IT44" s="2"/>
      <c r="IV44" s="2"/>
      <c r="IY44" s="4"/>
      <c r="JH44" s="2"/>
      <c r="JK44" s="4"/>
      <c r="JM44" s="4"/>
      <c r="JZ44" s="2"/>
      <c r="KD44" s="4"/>
      <c r="KF44" s="4"/>
      <c r="KJ44" s="4"/>
      <c r="KT44" s="2"/>
      <c r="KU44" s="2"/>
      <c r="KW44" s="2"/>
      <c r="LC44" s="2"/>
      <c r="LF44" s="2"/>
      <c r="LK44" s="2"/>
      <c r="LT44" s="4"/>
      <c r="LV44" s="4"/>
      <c r="NB44" s="2"/>
      <c r="NC44" s="2"/>
      <c r="NJ44" s="2"/>
      <c r="NN44" s="2"/>
      <c r="NO44" s="2"/>
      <c r="NT44" s="4"/>
      <c r="NV44" s="4"/>
      <c r="OA44" s="2"/>
      <c r="OB44" s="2"/>
      <c r="ON44" s="2"/>
      <c r="OR44" s="4"/>
      <c r="OT44" s="4"/>
      <c r="PD44" s="2"/>
      <c r="PH44" s="2"/>
      <c r="PQ44" s="2"/>
      <c r="PX44" s="2"/>
      <c r="PZ44" s="2"/>
      <c r="QF44" s="4"/>
      <c r="QH44" s="4"/>
      <c r="QZ44" s="2"/>
      <c r="RA44" s="2"/>
      <c r="RN44" s="4"/>
      <c r="RO44" s="4"/>
      <c r="RR44" s="2"/>
      <c r="RT44" s="2"/>
      <c r="RU44" s="2"/>
      <c r="SA44" s="4"/>
      <c r="SC44" s="4"/>
      <c r="SN44" s="2"/>
      <c r="SQ44" s="4"/>
      <c r="SS44" s="4"/>
      <c r="TG44" s="2"/>
      <c r="TH44" s="2"/>
      <c r="TI44" s="2"/>
      <c r="TU44" s="4"/>
      <c r="TW44" s="4"/>
    </row>
    <row r="45" spans="1:543">
      <c r="A45">
        <v>1413</v>
      </c>
      <c r="B45">
        <v>7121</v>
      </c>
      <c r="C45">
        <v>8505036333</v>
      </c>
      <c r="D45" t="s">
        <v>272</v>
      </c>
      <c r="E45" t="s">
        <v>273</v>
      </c>
      <c r="F45" t="s">
        <v>274</v>
      </c>
      <c r="G45" s="2">
        <v>40466</v>
      </c>
      <c r="H45" t="s">
        <v>43</v>
      </c>
      <c r="I45" t="s">
        <v>130</v>
      </c>
      <c r="J45" t="s">
        <v>61</v>
      </c>
      <c r="K45" t="s">
        <v>275</v>
      </c>
      <c r="L45" t="s">
        <v>77</v>
      </c>
      <c r="M45" s="2">
        <v>39029</v>
      </c>
      <c r="N45" t="s">
        <v>276</v>
      </c>
      <c r="O45" s="2">
        <f>DATE(YEAR(G45) + P45, MONTH(G45), DAY(G45))</f>
        <v>64207</v>
      </c>
      <c r="P45">
        <v>65</v>
      </c>
      <c r="Q45" s="2"/>
      <c r="R45" t="s">
        <v>47</v>
      </c>
      <c r="S45" t="s">
        <v>181</v>
      </c>
      <c r="T45" s="2">
        <v>23193</v>
      </c>
      <c r="U45" t="s">
        <v>38</v>
      </c>
      <c r="V45" t="s">
        <v>38</v>
      </c>
      <c r="W45">
        <v>7</v>
      </c>
      <c r="X45" s="1">
        <v>57648</v>
      </c>
      <c r="Y45" s="1">
        <f t="shared" si="0"/>
        <v>14412</v>
      </c>
      <c r="Z45" s="1">
        <f t="shared" si="4"/>
        <v>43236</v>
      </c>
      <c r="AA45" s="3">
        <v>621</v>
      </c>
      <c r="AK45" s="3"/>
      <c r="AM45" s="4"/>
      <c r="AO45" s="4"/>
      <c r="BA45" s="2"/>
      <c r="BB45" s="2"/>
      <c r="BD45" s="4"/>
      <c r="BF45" s="4"/>
      <c r="BM45" s="2"/>
      <c r="BQ45" s="4"/>
      <c r="CI45" s="2"/>
      <c r="CJ45" s="2"/>
      <c r="CN45" s="2"/>
      <c r="CQ45" s="2"/>
      <c r="CV45" s="4"/>
      <c r="CX45" s="4"/>
      <c r="DB45" s="2"/>
      <c r="DE45" s="2"/>
      <c r="DV45" s="2"/>
      <c r="DW45" s="2"/>
      <c r="DX45" s="3"/>
      <c r="EF45" s="4"/>
      <c r="EH45" s="4"/>
      <c r="ER45" s="2"/>
      <c r="ES45" s="2"/>
      <c r="EV45" s="3"/>
      <c r="EX45" s="4"/>
      <c r="EZ45" s="4"/>
      <c r="FQ45" s="4"/>
      <c r="FS45" s="4"/>
      <c r="GJ45" s="4"/>
      <c r="GL45" s="4"/>
      <c r="GR45" s="2"/>
      <c r="GS45" s="3"/>
      <c r="GU45" s="3"/>
      <c r="GV45" s="2"/>
      <c r="GW45" s="3"/>
      <c r="HB45" s="3"/>
      <c r="HP45" s="2"/>
      <c r="HS45" s="4"/>
      <c r="HU45" s="4"/>
      <c r="II45" s="4"/>
      <c r="IK45" s="4"/>
      <c r="IS45" s="2"/>
      <c r="IT45" s="2"/>
      <c r="IV45" s="2"/>
      <c r="IW45" s="4"/>
      <c r="IY45" s="4"/>
      <c r="JH45" s="2"/>
      <c r="JK45" s="4"/>
      <c r="JM45" s="4"/>
      <c r="JZ45" s="2"/>
      <c r="KD45" s="4"/>
      <c r="KF45" s="4"/>
      <c r="KJ45" s="4"/>
      <c r="KT45" s="2"/>
      <c r="KW45" s="2"/>
      <c r="LK45" s="2"/>
      <c r="LT45" s="4"/>
      <c r="LV45" s="4"/>
      <c r="LZ45" s="3"/>
      <c r="NC45" s="2"/>
      <c r="NG45" s="5"/>
      <c r="NJ45" s="2"/>
      <c r="NN45" s="2"/>
      <c r="NO45" s="2"/>
      <c r="NV45" s="4"/>
      <c r="OB45" s="2"/>
      <c r="OK45" s="3"/>
      <c r="ON45" s="2"/>
      <c r="OR45" s="4"/>
      <c r="OT45" s="4"/>
      <c r="PD45" s="2"/>
      <c r="PH45" s="2"/>
      <c r="PQ45" s="2"/>
      <c r="PX45" s="2"/>
      <c r="PZ45" s="2"/>
      <c r="QF45" s="4"/>
      <c r="QZ45" s="2"/>
      <c r="RA45" s="2"/>
      <c r="RN45" s="4"/>
      <c r="RO45" s="4"/>
      <c r="RT45" s="2"/>
      <c r="RU45" s="2"/>
      <c r="SA45" s="4"/>
      <c r="SM45" s="3"/>
      <c r="SN45" s="2"/>
      <c r="SQ45" s="4"/>
      <c r="SS45" s="4"/>
      <c r="TG45" s="2"/>
      <c r="TH45" s="2"/>
      <c r="TI45" s="2"/>
      <c r="TU45" s="4"/>
      <c r="TW45" s="4"/>
    </row>
    <row r="46" spans="1:543">
      <c r="A46">
        <v>3241</v>
      </c>
      <c r="B46">
        <v>7167</v>
      </c>
      <c r="C46">
        <v>3190186274</v>
      </c>
      <c r="D46" t="s">
        <v>208</v>
      </c>
      <c r="E46" t="s">
        <v>277</v>
      </c>
      <c r="F46" t="s">
        <v>278</v>
      </c>
      <c r="G46" s="2">
        <v>31290</v>
      </c>
      <c r="H46" t="s">
        <v>43</v>
      </c>
      <c r="I46" t="s">
        <v>279</v>
      </c>
      <c r="J46" t="s">
        <v>61</v>
      </c>
      <c r="K46" t="s">
        <v>280</v>
      </c>
      <c r="L46" t="s">
        <v>34</v>
      </c>
      <c r="M46" s="2">
        <v>30293</v>
      </c>
      <c r="N46" t="s">
        <v>281</v>
      </c>
      <c r="O46" s="2">
        <f>DATE(YEAR(G46) + P46, MONTH(G46), DAY(G46))</f>
        <v>54301</v>
      </c>
      <c r="P46">
        <v>63</v>
      </c>
      <c r="Q46" s="2"/>
      <c r="R46" t="s">
        <v>47</v>
      </c>
      <c r="S46" t="s">
        <v>48</v>
      </c>
      <c r="T46" s="2">
        <v>44334</v>
      </c>
      <c r="U46" t="s">
        <v>133</v>
      </c>
      <c r="V46" t="s">
        <v>38</v>
      </c>
      <c r="W46">
        <v>4</v>
      </c>
      <c r="X46" s="1">
        <v>48917</v>
      </c>
      <c r="Y46" s="1">
        <f t="shared" si="0"/>
        <v>12229.25</v>
      </c>
      <c r="Z46" s="1">
        <f t="shared" si="4"/>
        <v>36687.75</v>
      </c>
      <c r="AA46" s="3">
        <v>539</v>
      </c>
      <c r="AK46" s="3"/>
      <c r="AM46" s="4"/>
      <c r="AO46" s="4"/>
      <c r="BA46" s="2"/>
      <c r="BB46" s="2"/>
      <c r="BD46" s="4"/>
      <c r="BF46" s="4"/>
      <c r="BM46" s="2"/>
      <c r="BO46" s="4"/>
      <c r="BQ46" s="4"/>
      <c r="CF46" s="3"/>
      <c r="CI46" s="2"/>
      <c r="CJ46" s="2"/>
      <c r="CN46" s="2"/>
      <c r="CQ46" s="2"/>
      <c r="CX46" s="4"/>
      <c r="DA46" s="3"/>
      <c r="DB46" s="2"/>
      <c r="DD46" s="3"/>
      <c r="DE46" s="2"/>
      <c r="DF46" s="2"/>
      <c r="DV46" s="2"/>
      <c r="EF46" s="4"/>
      <c r="EH46" s="4"/>
      <c r="ER46" s="2"/>
      <c r="ES46" s="2"/>
      <c r="EZ46" s="4"/>
      <c r="FQ46" s="4"/>
      <c r="FS46" s="4"/>
      <c r="GE46" s="2"/>
      <c r="GG46" s="3"/>
      <c r="GJ46" s="4"/>
      <c r="GL46" s="4"/>
      <c r="GV46" s="2"/>
      <c r="GW46" s="3"/>
      <c r="GX46" s="3"/>
      <c r="GY46" s="3"/>
      <c r="HB46" s="3"/>
      <c r="HP46" s="2"/>
      <c r="HS46" s="4"/>
      <c r="II46" s="4"/>
      <c r="IK46" s="4"/>
      <c r="IS46" s="2"/>
      <c r="IT46" s="2"/>
      <c r="IV46" s="2"/>
      <c r="IW46" s="4"/>
      <c r="IY46" s="4"/>
      <c r="JK46" s="4"/>
      <c r="JM46" s="4"/>
      <c r="JZ46" s="2"/>
      <c r="KF46" s="4"/>
      <c r="KJ46" s="4"/>
      <c r="KU46" s="2"/>
      <c r="KW46" s="2"/>
      <c r="LC46" s="2"/>
      <c r="LF46" s="2"/>
      <c r="LK46" s="2"/>
      <c r="LM46" s="3"/>
      <c r="LT46" s="4"/>
      <c r="LV46" s="4"/>
      <c r="MA46" s="3"/>
      <c r="ML46" s="3"/>
      <c r="NB46" s="2"/>
      <c r="NC46" s="2"/>
      <c r="NJ46" s="2"/>
      <c r="NN46" s="2"/>
      <c r="NT46" s="4"/>
      <c r="NV46" s="4"/>
      <c r="OA46" s="2"/>
      <c r="OB46" s="2"/>
      <c r="ON46" s="2"/>
      <c r="OR46" s="4"/>
      <c r="PD46" s="2"/>
      <c r="PH46" s="2"/>
      <c r="PN46" s="3"/>
      <c r="PQ46" s="2"/>
      <c r="PX46" s="2"/>
      <c r="PZ46" s="2"/>
      <c r="QF46" s="4"/>
      <c r="QH46" s="4"/>
      <c r="QZ46" s="2"/>
      <c r="RA46" s="2"/>
      <c r="RN46" s="4"/>
      <c r="RO46" s="4"/>
      <c r="RR46" s="2"/>
      <c r="RT46" s="2"/>
      <c r="RU46" s="2"/>
      <c r="SA46" s="4"/>
      <c r="SN46" s="2"/>
      <c r="SQ46" s="4"/>
      <c r="SS46" s="4"/>
      <c r="TG46" s="2"/>
      <c r="TH46" s="2"/>
      <c r="TI46" s="2"/>
      <c r="TU46" s="4"/>
      <c r="TW46" s="4"/>
    </row>
    <row r="47" spans="1:543">
      <c r="A47">
        <v>4650</v>
      </c>
      <c r="B47">
        <v>4677</v>
      </c>
      <c r="C47">
        <v>4939813771</v>
      </c>
      <c r="D47" t="s">
        <v>282</v>
      </c>
      <c r="E47" t="s">
        <v>283</v>
      </c>
      <c r="F47" t="s">
        <v>284</v>
      </c>
      <c r="G47" s="2">
        <v>36592</v>
      </c>
      <c r="H47" t="s">
        <v>30</v>
      </c>
      <c r="I47" t="s">
        <v>143</v>
      </c>
      <c r="J47" t="s">
        <v>32</v>
      </c>
      <c r="K47" t="s">
        <v>285</v>
      </c>
      <c r="L47" t="s">
        <v>95</v>
      </c>
      <c r="M47" s="2"/>
      <c r="N47" t="s">
        <v>286</v>
      </c>
      <c r="O47" s="2">
        <f>DATE(YEAR(G47) + P47, MONTH(G47), DAY(G47))</f>
        <v>58507</v>
      </c>
      <c r="P47">
        <v>60</v>
      </c>
      <c r="Q47" s="2"/>
      <c r="R47" t="s">
        <v>47</v>
      </c>
      <c r="S47" t="s">
        <v>64</v>
      </c>
      <c r="T47" s="2">
        <v>30292</v>
      </c>
      <c r="U47" t="s">
        <v>65</v>
      </c>
      <c r="V47" t="s">
        <v>66</v>
      </c>
      <c r="W47">
        <v>3</v>
      </c>
      <c r="X47" s="1">
        <v>47373</v>
      </c>
      <c r="Y47" s="1">
        <f t="shared" si="0"/>
        <v>11843.25</v>
      </c>
      <c r="Z47" s="1">
        <f t="shared" si="4"/>
        <v>35529.75</v>
      </c>
      <c r="AA47" s="3">
        <v>46</v>
      </c>
      <c r="AK47" s="3"/>
      <c r="AM47" s="4"/>
      <c r="AO47" s="4"/>
      <c r="BA47" s="2"/>
      <c r="BB47" s="2"/>
      <c r="BD47" s="4"/>
      <c r="BF47" s="4"/>
      <c r="BM47" s="2"/>
      <c r="BO47" s="4"/>
      <c r="BQ47" s="4"/>
      <c r="CI47" s="2"/>
      <c r="CJ47" s="2"/>
      <c r="CN47" s="2"/>
      <c r="CQ47" s="2"/>
      <c r="CV47" s="4"/>
      <c r="CX47" s="4"/>
      <c r="CZ47" s="3"/>
      <c r="DB47" s="2"/>
      <c r="DC47" s="2"/>
      <c r="DD47" s="3"/>
      <c r="DE47" s="2"/>
      <c r="DF47" s="2"/>
      <c r="DV47" s="2"/>
      <c r="DW47" s="2"/>
      <c r="DY47" s="3"/>
      <c r="EC47" s="3"/>
      <c r="EF47" s="4"/>
      <c r="EH47" s="4"/>
      <c r="ES47" s="2"/>
      <c r="EX47" s="4"/>
      <c r="EZ47" s="4"/>
      <c r="FQ47" s="4"/>
      <c r="FS47" s="4"/>
      <c r="GE47" s="2"/>
      <c r="GJ47" s="4"/>
      <c r="GL47" s="4"/>
      <c r="GR47" s="2"/>
      <c r="GT47" s="3"/>
      <c r="GU47" s="3"/>
      <c r="GV47" s="2"/>
      <c r="GX47" s="3"/>
      <c r="GY47" s="3"/>
      <c r="HB47" s="3"/>
      <c r="HP47" s="2"/>
      <c r="HS47" s="4"/>
      <c r="HU47" s="4"/>
      <c r="II47" s="4"/>
      <c r="IK47" s="4"/>
      <c r="IT47" s="2"/>
      <c r="IV47" s="2"/>
      <c r="IW47" s="4"/>
      <c r="IY47" s="4"/>
      <c r="JH47" s="2"/>
      <c r="JK47" s="4"/>
      <c r="JM47" s="4"/>
      <c r="JZ47" s="2"/>
      <c r="KD47" s="4"/>
      <c r="KJ47" s="4"/>
      <c r="KU47" s="2"/>
      <c r="KW47" s="2"/>
      <c r="LC47" s="2"/>
      <c r="LF47" s="2"/>
      <c r="LH47" s="3"/>
      <c r="LK47" s="2"/>
      <c r="LT47" s="4"/>
      <c r="LV47" s="4"/>
      <c r="ME47" s="3"/>
      <c r="NB47" s="2"/>
      <c r="NC47" s="2"/>
      <c r="NG47" s="5"/>
      <c r="NJ47" s="2"/>
      <c r="NN47" s="2"/>
      <c r="NO47" s="2"/>
      <c r="NT47" s="4"/>
      <c r="NV47" s="4"/>
      <c r="OA47" s="2"/>
      <c r="OB47" s="2"/>
      <c r="OK47" s="3"/>
      <c r="ON47" s="2"/>
      <c r="OR47" s="4"/>
      <c r="OT47" s="4"/>
      <c r="PD47" s="2"/>
      <c r="PH47" s="2"/>
      <c r="PX47" s="2"/>
      <c r="PZ47" s="2"/>
      <c r="QF47" s="4"/>
      <c r="QH47" s="4"/>
      <c r="QJ47" s="3"/>
      <c r="QZ47" s="2"/>
      <c r="RA47" s="2"/>
      <c r="RN47" s="4"/>
      <c r="RO47" s="4"/>
      <c r="RR47" s="2"/>
      <c r="RT47" s="2"/>
      <c r="RU47" s="2"/>
      <c r="SC47" s="4"/>
      <c r="SN47" s="2"/>
      <c r="SQ47" s="4"/>
      <c r="SS47" s="4"/>
      <c r="TG47" s="2"/>
      <c r="TH47" s="2"/>
      <c r="TI47" s="2"/>
      <c r="TO47" s="3"/>
      <c r="TU47" s="4"/>
      <c r="TW47" s="4"/>
    </row>
    <row r="48" spans="1:543">
      <c r="A48">
        <v>5939</v>
      </c>
      <c r="B48">
        <v>9913</v>
      </c>
      <c r="C48">
        <v>6195642508</v>
      </c>
      <c r="D48" t="s">
        <v>287</v>
      </c>
      <c r="E48" t="s">
        <v>288</v>
      </c>
      <c r="F48" t="s">
        <v>289</v>
      </c>
      <c r="G48" s="2">
        <v>40457</v>
      </c>
      <c r="H48" t="s">
        <v>30</v>
      </c>
      <c r="I48" t="s">
        <v>75</v>
      </c>
      <c r="J48" t="s">
        <v>32</v>
      </c>
      <c r="K48" t="s">
        <v>290</v>
      </c>
      <c r="L48" t="s">
        <v>77</v>
      </c>
      <c r="M48" s="2"/>
      <c r="N48" t="s">
        <v>291</v>
      </c>
      <c r="O48" s="2">
        <f>DATE(YEAR(G48) + P48, MONTH(G48), DAY(G48))</f>
        <v>63833</v>
      </c>
      <c r="P48">
        <v>64</v>
      </c>
      <c r="Q48" s="2"/>
      <c r="R48" t="s">
        <v>47</v>
      </c>
      <c r="S48" t="s">
        <v>37</v>
      </c>
      <c r="T48" s="2">
        <v>41424</v>
      </c>
      <c r="U48" t="s">
        <v>49</v>
      </c>
      <c r="V48" t="s">
        <v>39</v>
      </c>
      <c r="W48">
        <v>23</v>
      </c>
      <c r="X48" s="1">
        <v>12327</v>
      </c>
      <c r="Y48" s="1">
        <f t="shared" si="0"/>
        <v>3081.75</v>
      </c>
      <c r="Z48" s="1">
        <f t="shared" si="4"/>
        <v>9245.25</v>
      </c>
      <c r="AA48" s="3">
        <v>705</v>
      </c>
      <c r="AK48" s="3"/>
      <c r="AM48" s="4"/>
      <c r="AO48" s="4"/>
      <c r="BA48" s="2"/>
      <c r="BB48" s="2"/>
      <c r="BD48" s="4"/>
      <c r="BF48" s="4"/>
      <c r="BM48" s="2"/>
      <c r="BO48" s="4"/>
      <c r="BQ48" s="4"/>
      <c r="CI48" s="2"/>
      <c r="CJ48" s="2"/>
      <c r="CN48" s="2"/>
      <c r="CQ48" s="2"/>
      <c r="CV48" s="4"/>
      <c r="CX48" s="4"/>
      <c r="DC48" s="2"/>
      <c r="DE48" s="2"/>
      <c r="DV48" s="2"/>
      <c r="DW48" s="2"/>
      <c r="DX48" s="3"/>
      <c r="EF48" s="4"/>
      <c r="EH48" s="4"/>
      <c r="ER48" s="2"/>
      <c r="EX48" s="4"/>
      <c r="EZ48" s="4"/>
      <c r="FQ48" s="4"/>
      <c r="FS48" s="4"/>
      <c r="GJ48" s="4"/>
      <c r="GR48" s="2"/>
      <c r="GU48" s="3"/>
      <c r="GV48" s="2"/>
      <c r="GW48" s="3"/>
      <c r="GX48" s="3"/>
      <c r="GY48" s="3"/>
      <c r="HO48" s="3"/>
      <c r="HP48" s="2"/>
      <c r="HS48" s="4"/>
      <c r="HU48" s="4"/>
      <c r="II48" s="4"/>
      <c r="IK48" s="4"/>
      <c r="IS48" s="2"/>
      <c r="IT48" s="2"/>
      <c r="IV48" s="2"/>
      <c r="IW48" s="4"/>
      <c r="IY48" s="4"/>
      <c r="JH48" s="2"/>
      <c r="JK48" s="4"/>
      <c r="JM48" s="4"/>
      <c r="JZ48" s="2"/>
      <c r="KD48" s="4"/>
      <c r="KF48" s="4"/>
      <c r="KI48" s="3"/>
      <c r="KT48" s="2"/>
      <c r="KU48" s="2"/>
      <c r="KW48" s="2"/>
      <c r="LC48" s="2"/>
      <c r="LF48" s="2"/>
      <c r="LK48" s="2"/>
      <c r="LT48" s="4"/>
      <c r="LV48" s="4"/>
      <c r="NB48" s="2"/>
      <c r="NC48" s="2"/>
      <c r="NJ48" s="2"/>
      <c r="NN48" s="2"/>
      <c r="NO48" s="2"/>
      <c r="NV48" s="4"/>
      <c r="OA48" s="2"/>
      <c r="OB48" s="2"/>
      <c r="ON48" s="2"/>
      <c r="OR48" s="4"/>
      <c r="PD48" s="2"/>
      <c r="PH48" s="2"/>
      <c r="PN48" s="3"/>
      <c r="PQ48" s="2"/>
      <c r="PX48" s="2"/>
      <c r="PZ48" s="2"/>
      <c r="QH48" s="4"/>
      <c r="QZ48" s="2"/>
      <c r="RA48" s="2"/>
      <c r="RN48" s="4"/>
      <c r="RO48" s="4"/>
      <c r="RR48" s="2"/>
      <c r="RT48" s="2"/>
      <c r="RU48" s="2"/>
      <c r="SN48" s="2"/>
      <c r="SQ48" s="4"/>
      <c r="SS48" s="4"/>
      <c r="TG48" s="2"/>
      <c r="TI48" s="2"/>
      <c r="TN48" s="3"/>
      <c r="TU48" s="4"/>
      <c r="TW48" s="4"/>
    </row>
    <row r="49" spans="1:543">
      <c r="A49">
        <v>1742</v>
      </c>
      <c r="B49">
        <v>2735</v>
      </c>
      <c r="C49">
        <v>2595364245</v>
      </c>
      <c r="D49" t="s">
        <v>172</v>
      </c>
      <c r="E49" t="s">
        <v>173</v>
      </c>
      <c r="F49" t="s">
        <v>174</v>
      </c>
      <c r="G49" s="2">
        <v>27304</v>
      </c>
      <c r="H49" t="s">
        <v>30</v>
      </c>
      <c r="I49" t="s">
        <v>70</v>
      </c>
      <c r="J49" t="s">
        <v>32</v>
      </c>
      <c r="K49" t="s">
        <v>292</v>
      </c>
      <c r="L49" t="s">
        <v>95</v>
      </c>
      <c r="M49" s="2"/>
      <c r="N49" t="s">
        <v>293</v>
      </c>
      <c r="O49" s="2">
        <f>DATE(YEAR(G49) + P49, MONTH(G49), DAY(G49))</f>
        <v>52141</v>
      </c>
      <c r="P49">
        <v>68</v>
      </c>
      <c r="Q49" s="2"/>
      <c r="R49" t="s">
        <v>47</v>
      </c>
      <c r="S49" t="s">
        <v>37</v>
      </c>
      <c r="T49" s="2">
        <v>28625</v>
      </c>
      <c r="U49" t="s">
        <v>65</v>
      </c>
      <c r="V49" t="s">
        <v>66</v>
      </c>
      <c r="W49">
        <v>13</v>
      </c>
      <c r="X49" s="1">
        <v>77396</v>
      </c>
      <c r="Y49" s="1">
        <f t="shared" si="0"/>
        <v>19349</v>
      </c>
      <c r="Z49" s="1">
        <f t="shared" si="4"/>
        <v>58047</v>
      </c>
      <c r="AA49" s="3">
        <v>442</v>
      </c>
      <c r="AK49" s="3"/>
      <c r="AM49" s="4"/>
      <c r="AO49" s="4"/>
      <c r="BA49" s="2"/>
      <c r="BB49" s="2"/>
      <c r="BD49" s="4"/>
      <c r="BF49" s="4"/>
      <c r="BM49" s="2"/>
      <c r="BQ49" s="4"/>
      <c r="CJ49" s="2"/>
      <c r="CN49" s="2"/>
      <c r="CQ49" s="2"/>
      <c r="CV49" s="4"/>
      <c r="CX49" s="4"/>
      <c r="DB49" s="2"/>
      <c r="DC49" s="2"/>
      <c r="DD49" s="3"/>
      <c r="DE49" s="2"/>
      <c r="DF49" s="2"/>
      <c r="DV49" s="2"/>
      <c r="DW49" s="2"/>
      <c r="EF49" s="4"/>
      <c r="EH49" s="4"/>
      <c r="ER49" s="2"/>
      <c r="EX49" s="4"/>
      <c r="EZ49" s="4"/>
      <c r="FQ49" s="4"/>
      <c r="FS49" s="4"/>
      <c r="GE49" s="2"/>
      <c r="GJ49" s="4"/>
      <c r="GL49" s="4"/>
      <c r="GR49" s="2"/>
      <c r="GU49" s="3"/>
      <c r="GV49" s="2"/>
      <c r="HB49" s="3"/>
      <c r="HP49" s="2"/>
      <c r="HS49" s="4"/>
      <c r="HU49" s="4"/>
      <c r="II49" s="4"/>
      <c r="IK49" s="4"/>
      <c r="IS49" s="2"/>
      <c r="IV49" s="2"/>
      <c r="IW49" s="4"/>
      <c r="IY49" s="4"/>
      <c r="JH49" s="2"/>
      <c r="JK49" s="4"/>
      <c r="JM49" s="4"/>
      <c r="JZ49" s="2"/>
      <c r="KD49" s="4"/>
      <c r="KF49" s="4"/>
      <c r="KJ49" s="4"/>
      <c r="KT49" s="2"/>
      <c r="KU49" s="2"/>
      <c r="LC49" s="2"/>
      <c r="LF49" s="2"/>
      <c r="LK49" s="2"/>
      <c r="LT49" s="4"/>
      <c r="LV49" s="4"/>
      <c r="NB49" s="2"/>
      <c r="NC49" s="2"/>
      <c r="NJ49" s="2"/>
      <c r="NN49" s="2"/>
      <c r="NT49" s="4"/>
      <c r="OA49" s="2"/>
      <c r="OB49" s="2"/>
      <c r="ON49" s="2"/>
      <c r="OR49" s="4"/>
      <c r="OT49" s="4"/>
      <c r="PD49" s="2"/>
      <c r="PH49" s="2"/>
      <c r="PI49" s="3"/>
      <c r="PQ49" s="2"/>
      <c r="PX49" s="2"/>
      <c r="PY49" s="3"/>
      <c r="QH49" s="4"/>
      <c r="QZ49" s="2"/>
      <c r="RA49" s="2"/>
      <c r="RN49" s="4"/>
      <c r="RO49" s="4"/>
      <c r="RR49" s="2"/>
      <c r="RT49" s="2"/>
      <c r="SA49" s="4"/>
      <c r="SC49" s="4"/>
      <c r="SN49" s="2"/>
      <c r="SQ49" s="4"/>
      <c r="SS49" s="4"/>
      <c r="TG49" s="2"/>
      <c r="TH49" s="2"/>
      <c r="TI49" s="2"/>
      <c r="TU49" s="4"/>
      <c r="TW49" s="4"/>
    </row>
    <row r="50" spans="1:543">
      <c r="A50">
        <v>9752</v>
      </c>
      <c r="B50">
        <v>9127</v>
      </c>
      <c r="C50">
        <v>1328492197</v>
      </c>
      <c r="D50" t="s">
        <v>213</v>
      </c>
      <c r="E50" t="s">
        <v>294</v>
      </c>
      <c r="F50" t="s">
        <v>295</v>
      </c>
      <c r="G50" s="2">
        <v>24895</v>
      </c>
      <c r="H50" t="s">
        <v>30</v>
      </c>
      <c r="I50" t="s">
        <v>279</v>
      </c>
      <c r="J50" t="s">
        <v>32</v>
      </c>
      <c r="K50" t="s">
        <v>296</v>
      </c>
      <c r="L50" t="s">
        <v>34</v>
      </c>
      <c r="M50" s="2"/>
      <c r="N50" t="s">
        <v>297</v>
      </c>
      <c r="O50" s="2">
        <f>DATE(YEAR(G50) + P50, MONTH(G50), DAY(G50))</f>
        <v>49732</v>
      </c>
      <c r="P50">
        <v>68</v>
      </c>
      <c r="Q50" s="2"/>
      <c r="R50" t="s">
        <v>47</v>
      </c>
      <c r="S50" t="s">
        <v>181</v>
      </c>
      <c r="T50" s="2">
        <v>23041</v>
      </c>
      <c r="U50" t="s">
        <v>103</v>
      </c>
      <c r="V50" t="s">
        <v>38</v>
      </c>
      <c r="W50">
        <v>12</v>
      </c>
      <c r="X50" s="1">
        <v>35483</v>
      </c>
      <c r="Y50" s="1">
        <f t="shared" si="0"/>
        <v>8870.75</v>
      </c>
      <c r="Z50" s="1">
        <f t="shared" si="4"/>
        <v>26612.25</v>
      </c>
      <c r="AA50" s="3">
        <v>813</v>
      </c>
      <c r="AK50" s="3"/>
      <c r="AM50" s="4"/>
      <c r="AO50" s="4"/>
      <c r="BA50" s="2"/>
      <c r="BB50" s="2"/>
      <c r="BD50" s="4"/>
      <c r="BM50" s="2"/>
      <c r="BO50" s="4"/>
      <c r="BQ50" s="4"/>
      <c r="CI50" s="2"/>
      <c r="CJ50" s="2"/>
      <c r="CN50" s="2"/>
      <c r="CQ50" s="2"/>
      <c r="CV50" s="4"/>
      <c r="CX50" s="4"/>
      <c r="DB50" s="2"/>
      <c r="DC50" s="2"/>
      <c r="DE50" s="2"/>
      <c r="DF50" s="2"/>
      <c r="DV50" s="2"/>
      <c r="DW50" s="2"/>
      <c r="EF50" s="4"/>
      <c r="EH50" s="4"/>
      <c r="ER50" s="2"/>
      <c r="ES50" s="2"/>
      <c r="EU50" s="3"/>
      <c r="EX50" s="4"/>
      <c r="EZ50" s="4"/>
      <c r="FQ50" s="4"/>
      <c r="FS50" s="4"/>
      <c r="GE50" s="2"/>
      <c r="GJ50" s="4"/>
      <c r="GL50" s="4"/>
      <c r="GR50" s="2"/>
      <c r="GS50" s="3"/>
      <c r="GT50" s="3"/>
      <c r="GU50" s="3"/>
      <c r="GV50" s="2"/>
      <c r="GW50" s="3"/>
      <c r="HB50" s="3"/>
      <c r="HO50" s="3"/>
      <c r="HP50" s="2"/>
      <c r="HQ50" s="3"/>
      <c r="HS50" s="4"/>
      <c r="HU50" s="4"/>
      <c r="II50" s="4"/>
      <c r="IS50" s="2"/>
      <c r="IV50" s="2"/>
      <c r="IW50" s="4"/>
      <c r="IY50" s="4"/>
      <c r="JH50" s="2"/>
      <c r="JK50" s="4"/>
      <c r="JM50" s="4"/>
      <c r="JZ50" s="2"/>
      <c r="KD50" s="4"/>
      <c r="KF50" s="4"/>
      <c r="KJ50" s="4"/>
      <c r="KT50" s="2"/>
      <c r="KW50" s="2"/>
      <c r="LC50" s="2"/>
      <c r="LF50" s="2"/>
      <c r="LK50" s="2"/>
      <c r="LT50" s="4"/>
      <c r="LV50" s="4"/>
      <c r="MA50" s="3"/>
      <c r="NB50" s="2"/>
      <c r="NG50" s="5"/>
      <c r="NJ50" s="2"/>
      <c r="NN50" s="2"/>
      <c r="NO50" s="2"/>
      <c r="NV50" s="4"/>
      <c r="OA50" s="2"/>
      <c r="OB50" s="2"/>
      <c r="ON50" s="2"/>
      <c r="OR50" s="4"/>
      <c r="OT50" s="4"/>
      <c r="PD50" s="2"/>
      <c r="PH50" s="2"/>
      <c r="PQ50" s="2"/>
      <c r="PX50" s="2"/>
      <c r="PZ50" s="2"/>
      <c r="QF50" s="4"/>
      <c r="QH50" s="4"/>
      <c r="QX50" s="3"/>
      <c r="QZ50" s="2"/>
      <c r="RN50" s="4"/>
      <c r="RO50" s="4"/>
      <c r="RR50" s="2"/>
      <c r="RT50" s="2"/>
      <c r="RU50" s="2"/>
      <c r="SA50" s="4"/>
      <c r="SC50" s="4"/>
      <c r="SN50" s="2"/>
      <c r="SQ50" s="4"/>
      <c r="SS50" s="4"/>
      <c r="TG50" s="2"/>
      <c r="TH50" s="2"/>
      <c r="TI50" s="2"/>
      <c r="TP50" s="3"/>
      <c r="TW50" s="4"/>
    </row>
    <row r="51" spans="1:543">
      <c r="A51">
        <v>1086</v>
      </c>
      <c r="B51">
        <v>4275</v>
      </c>
      <c r="C51">
        <v>6741461373</v>
      </c>
      <c r="D51" t="s">
        <v>84</v>
      </c>
      <c r="E51" t="s">
        <v>298</v>
      </c>
      <c r="F51" t="s">
        <v>299</v>
      </c>
      <c r="G51" s="2">
        <v>30658</v>
      </c>
      <c r="H51" t="s">
        <v>30</v>
      </c>
      <c r="I51" t="s">
        <v>60</v>
      </c>
      <c r="J51" t="s">
        <v>32</v>
      </c>
      <c r="K51" t="s">
        <v>300</v>
      </c>
      <c r="L51" t="s">
        <v>34</v>
      </c>
      <c r="M51" s="2"/>
      <c r="N51" t="s">
        <v>301</v>
      </c>
      <c r="O51" s="2">
        <f>DATE(YEAR(G51) + P51, MONTH(G51), DAY(G51))</f>
        <v>52939</v>
      </c>
      <c r="P51">
        <v>61</v>
      </c>
      <c r="Q51" s="2"/>
      <c r="R51" t="s">
        <v>47</v>
      </c>
      <c r="S51" t="s">
        <v>102</v>
      </c>
      <c r="T51" s="2">
        <v>39446</v>
      </c>
      <c r="U51" t="s">
        <v>49</v>
      </c>
      <c r="V51" t="s">
        <v>38</v>
      </c>
      <c r="W51">
        <v>24</v>
      </c>
      <c r="X51" s="1">
        <v>78213</v>
      </c>
      <c r="Y51" s="1">
        <f t="shared" si="0"/>
        <v>19553.25</v>
      </c>
      <c r="Z51" s="1">
        <f t="shared" si="4"/>
        <v>58659.75</v>
      </c>
      <c r="AA51" s="3">
        <v>278</v>
      </c>
      <c r="AJ51" s="3"/>
      <c r="AK51" s="3"/>
      <c r="AM51" s="4"/>
      <c r="AO51" s="4"/>
      <c r="BA51" s="2"/>
      <c r="BD51" s="4"/>
      <c r="BM51" s="2"/>
      <c r="BO51" s="4"/>
      <c r="BQ51" s="4"/>
      <c r="CH51" s="3"/>
      <c r="CI51" s="2"/>
      <c r="CJ51" s="2"/>
      <c r="CL51" s="3"/>
      <c r="CN51" s="2"/>
      <c r="CQ51" s="2"/>
      <c r="CV51" s="4"/>
      <c r="CX51" s="4"/>
      <c r="CZ51" s="3"/>
      <c r="DB51" s="2"/>
      <c r="DC51" s="2"/>
      <c r="DE51" s="2"/>
      <c r="DF51" s="2"/>
      <c r="DV51" s="2"/>
      <c r="DW51" s="2"/>
      <c r="EF51" s="4"/>
      <c r="ES51" s="2"/>
      <c r="EX51" s="4"/>
      <c r="EZ51" s="4"/>
      <c r="FQ51" s="4"/>
      <c r="FS51" s="4"/>
      <c r="GE51" s="2"/>
      <c r="GJ51" s="4"/>
      <c r="GL51" s="4"/>
      <c r="GR51" s="2"/>
      <c r="GS51" s="3"/>
      <c r="GU51" s="3"/>
      <c r="GV51" s="2"/>
      <c r="GW51" s="3"/>
      <c r="GX51" s="3"/>
      <c r="HB51" s="3"/>
      <c r="HN51" s="3"/>
      <c r="HP51" s="2"/>
      <c r="HS51" s="4"/>
      <c r="HU51" s="4"/>
      <c r="IF51" s="3"/>
      <c r="II51" s="4"/>
      <c r="IK51" s="4"/>
      <c r="IS51" s="2"/>
      <c r="IT51" s="2"/>
      <c r="IV51" s="2"/>
      <c r="IW51" s="4"/>
      <c r="IY51" s="4"/>
      <c r="JK51" s="4"/>
      <c r="JM51" s="4"/>
      <c r="JZ51" s="2"/>
      <c r="KD51" s="4"/>
      <c r="KF51" s="4"/>
      <c r="KJ51" s="4"/>
      <c r="KT51" s="2"/>
      <c r="KU51" s="2"/>
      <c r="KW51" s="2"/>
      <c r="LC51" s="2"/>
      <c r="LF51" s="2"/>
      <c r="LH51" s="3"/>
      <c r="LK51" s="2"/>
      <c r="LT51" s="4"/>
      <c r="LV51" s="4"/>
      <c r="NJ51" s="2"/>
      <c r="NN51" s="2"/>
      <c r="NO51" s="2"/>
      <c r="NT51" s="4"/>
      <c r="NV51" s="4"/>
      <c r="OA51" s="2"/>
      <c r="OB51" s="2"/>
      <c r="OJ51" s="3"/>
      <c r="ON51" s="2"/>
      <c r="OR51" s="4"/>
      <c r="OT51" s="4"/>
      <c r="PD51" s="2"/>
      <c r="PQ51" s="2"/>
      <c r="PX51" s="2"/>
      <c r="PZ51" s="2"/>
      <c r="QF51" s="4"/>
      <c r="QH51" s="4"/>
      <c r="QZ51" s="2"/>
      <c r="RA51" s="2"/>
      <c r="RN51" s="4"/>
      <c r="RO51" s="4"/>
      <c r="RR51" s="2"/>
      <c r="RT51" s="2"/>
      <c r="RU51" s="2"/>
      <c r="SA51" s="4"/>
      <c r="SC51" s="4"/>
      <c r="SN51" s="2"/>
      <c r="SQ51" s="4"/>
      <c r="SS51" s="4"/>
      <c r="TG51" s="2"/>
      <c r="TH51" s="2"/>
      <c r="TI51" s="2"/>
      <c r="TN51" s="3"/>
      <c r="TU51" s="4"/>
      <c r="TW51" s="4"/>
    </row>
    <row r="52" spans="1:543">
      <c r="A52">
        <v>6310</v>
      </c>
      <c r="B52">
        <v>9363</v>
      </c>
      <c r="C52">
        <v>2731911692</v>
      </c>
      <c r="D52" t="s">
        <v>287</v>
      </c>
      <c r="E52" t="s">
        <v>302</v>
      </c>
      <c r="F52" t="s">
        <v>303</v>
      </c>
      <c r="G52" s="2">
        <v>29930</v>
      </c>
      <c r="H52" t="s">
        <v>30</v>
      </c>
      <c r="I52" t="s">
        <v>279</v>
      </c>
      <c r="J52" t="s">
        <v>32</v>
      </c>
      <c r="K52" t="s">
        <v>304</v>
      </c>
      <c r="L52" t="s">
        <v>95</v>
      </c>
      <c r="M52" s="2"/>
      <c r="N52" t="s">
        <v>305</v>
      </c>
      <c r="O52" s="2">
        <f>DATE(YEAR(G52) + P52, MONTH(G52), DAY(G52))</f>
        <v>53306</v>
      </c>
      <c r="P52">
        <v>64</v>
      </c>
      <c r="Q52" s="2"/>
      <c r="R52" t="s">
        <v>47</v>
      </c>
      <c r="S52" t="s">
        <v>102</v>
      </c>
      <c r="T52" t="s">
        <v>306</v>
      </c>
      <c r="U52" t="s">
        <v>133</v>
      </c>
      <c r="V52" t="s">
        <v>56</v>
      </c>
      <c r="W52">
        <v>1</v>
      </c>
      <c r="X52" s="1">
        <v>18618</v>
      </c>
      <c r="Y52" s="1">
        <f t="shared" si="0"/>
        <v>4654.5</v>
      </c>
      <c r="Z52" s="1">
        <f t="shared" si="4"/>
        <v>13963.5</v>
      </c>
      <c r="AA52" s="3">
        <v>313</v>
      </c>
      <c r="AK52" s="3"/>
      <c r="AM52" s="4"/>
      <c r="AO52" s="4"/>
      <c r="BA52" s="2"/>
      <c r="BB52" s="2"/>
      <c r="BD52" s="4"/>
      <c r="BF52" s="4"/>
      <c r="BM52" s="2"/>
      <c r="BO52" s="4"/>
      <c r="BQ52" s="4"/>
      <c r="CJ52" s="2"/>
      <c r="CN52" s="2"/>
      <c r="CQ52" s="2"/>
      <c r="CV52" s="4"/>
      <c r="CX52" s="4"/>
      <c r="DB52" s="2"/>
      <c r="DC52" s="2"/>
      <c r="DE52" s="2"/>
      <c r="DF52" s="2"/>
      <c r="DV52" s="2"/>
      <c r="DW52" s="2"/>
      <c r="EF52" s="4"/>
      <c r="EH52" s="4"/>
      <c r="ER52" s="2"/>
      <c r="ES52" s="2"/>
      <c r="EX52" s="4"/>
      <c r="EZ52" s="4"/>
      <c r="FS52" s="4"/>
      <c r="GE52" s="2"/>
      <c r="GJ52" s="4"/>
      <c r="GL52" s="4"/>
      <c r="GR52" s="2"/>
      <c r="GT52" s="3"/>
      <c r="GV52" s="2"/>
      <c r="GX52" s="3"/>
      <c r="HB52" s="3"/>
      <c r="HP52" s="2"/>
      <c r="HU52" s="4"/>
      <c r="II52" s="4"/>
      <c r="IS52" s="2"/>
      <c r="IT52" s="2"/>
      <c r="IV52" s="2"/>
      <c r="IW52" s="4"/>
      <c r="IY52" s="4"/>
      <c r="JH52" s="2"/>
      <c r="JK52" s="4"/>
      <c r="JM52" s="4"/>
      <c r="JZ52" s="2"/>
      <c r="KD52" s="4"/>
      <c r="KF52" s="4"/>
      <c r="KJ52" s="4"/>
      <c r="KT52" s="2"/>
      <c r="KU52" s="2"/>
      <c r="KW52" s="2"/>
      <c r="LC52" s="2"/>
      <c r="LF52" s="2"/>
      <c r="LK52" s="2"/>
      <c r="LM52" s="3"/>
      <c r="LT52" s="4"/>
      <c r="LV52" s="4"/>
      <c r="MF52" s="3"/>
      <c r="NB52" s="2"/>
      <c r="NC52" s="2"/>
      <c r="NJ52" s="2"/>
      <c r="NO52" s="2"/>
      <c r="NT52" s="4"/>
      <c r="NV52" s="4"/>
      <c r="OA52" s="2"/>
      <c r="OB52" s="2"/>
      <c r="ON52" s="2"/>
      <c r="OR52" s="4"/>
      <c r="OT52" s="4"/>
      <c r="PD52" s="2"/>
      <c r="PH52" s="2"/>
      <c r="PQ52" s="2"/>
      <c r="PX52" s="2"/>
      <c r="PZ52" s="2"/>
      <c r="QF52" s="4"/>
      <c r="QH52" s="4"/>
      <c r="RA52" s="2"/>
      <c r="RN52" s="4"/>
      <c r="RO52" s="4"/>
      <c r="RR52" s="2"/>
      <c r="RT52" s="2"/>
      <c r="SA52" s="4"/>
      <c r="SC52" s="4"/>
      <c r="SN52" s="2"/>
      <c r="SQ52" s="4"/>
      <c r="SS52" s="4"/>
      <c r="TG52" s="2"/>
      <c r="TH52" s="2"/>
      <c r="TI52" s="2"/>
      <c r="TU52" s="4"/>
      <c r="TW52" s="4"/>
    </row>
    <row r="53" spans="1:543">
      <c r="A53">
        <v>7487</v>
      </c>
      <c r="B53">
        <v>5668</v>
      </c>
      <c r="C53">
        <v>5897222998</v>
      </c>
      <c r="D53" t="s">
        <v>40</v>
      </c>
      <c r="E53" t="s">
        <v>307</v>
      </c>
      <c r="F53" t="s">
        <v>308</v>
      </c>
      <c r="G53" s="2">
        <v>28490</v>
      </c>
      <c r="H53" t="s">
        <v>30</v>
      </c>
      <c r="I53" t="s">
        <v>130</v>
      </c>
      <c r="J53" t="s">
        <v>61</v>
      </c>
      <c r="K53" t="s">
        <v>309</v>
      </c>
      <c r="L53" t="s">
        <v>95</v>
      </c>
      <c r="M53" s="2">
        <v>37222</v>
      </c>
      <c r="N53" t="s">
        <v>310</v>
      </c>
      <c r="O53" s="2">
        <f>DATE(YEAR(G53) + P53, MONTH(G53), DAY(G53))</f>
        <v>52596</v>
      </c>
      <c r="P53">
        <v>66</v>
      </c>
      <c r="Q53" s="2">
        <v>45290</v>
      </c>
      <c r="R53" t="s">
        <v>36</v>
      </c>
      <c r="S53" t="s">
        <v>102</v>
      </c>
      <c r="T53" s="2">
        <v>42061</v>
      </c>
      <c r="U53" t="s">
        <v>38</v>
      </c>
      <c r="V53" t="s">
        <v>38</v>
      </c>
      <c r="W53">
        <v>25</v>
      </c>
      <c r="X53" s="1">
        <v>36730</v>
      </c>
      <c r="Y53" s="1">
        <f t="shared" si="0"/>
        <v>9182.5</v>
      </c>
      <c r="Z53" s="1">
        <f t="shared" si="4"/>
        <v>27547.5</v>
      </c>
      <c r="AA53" s="3">
        <v>705</v>
      </c>
      <c r="AK53" s="3"/>
      <c r="AM53" s="4"/>
      <c r="AO53" s="4"/>
      <c r="BA53" s="2"/>
      <c r="BB53" s="2"/>
      <c r="BD53" s="4"/>
      <c r="BF53" s="4"/>
      <c r="BM53" s="2"/>
      <c r="BO53" s="4"/>
      <c r="BQ53" s="4"/>
      <c r="CG53" s="3"/>
      <c r="CI53" s="2"/>
      <c r="CJ53" s="2"/>
      <c r="CN53" s="2"/>
      <c r="CQ53" s="2"/>
      <c r="CX53" s="4"/>
      <c r="DA53" s="3"/>
      <c r="DB53" s="2"/>
      <c r="DC53" s="2"/>
      <c r="DE53" s="2"/>
      <c r="DV53" s="2"/>
      <c r="DW53" s="2"/>
      <c r="EF53" s="4"/>
      <c r="EH53" s="4"/>
      <c r="ER53" s="2"/>
      <c r="ES53" s="2"/>
      <c r="EX53" s="4"/>
      <c r="EZ53" s="4"/>
      <c r="FQ53" s="4"/>
      <c r="FS53" s="4"/>
      <c r="GE53" s="2"/>
      <c r="GJ53" s="4"/>
      <c r="GL53" s="4"/>
      <c r="GR53" s="2"/>
      <c r="GU53" s="3"/>
      <c r="GV53" s="2"/>
      <c r="GX53" s="3"/>
      <c r="GY53" s="3"/>
      <c r="HB53" s="3"/>
      <c r="HN53" s="3"/>
      <c r="HP53" s="2"/>
      <c r="HS53" s="4"/>
      <c r="HU53" s="4"/>
      <c r="II53" s="4"/>
      <c r="IK53" s="4"/>
      <c r="IS53" s="2"/>
      <c r="IT53" s="2"/>
      <c r="IV53" s="2"/>
      <c r="IW53" s="4"/>
      <c r="IY53" s="4"/>
      <c r="JH53" s="2"/>
      <c r="JK53" s="4"/>
      <c r="JM53" s="4"/>
      <c r="KD53" s="4"/>
      <c r="KF53" s="4"/>
      <c r="KJ53" s="4"/>
      <c r="KT53" s="2"/>
      <c r="KU53" s="2"/>
      <c r="KW53" s="2"/>
      <c r="LC53" s="2"/>
      <c r="LF53" s="2"/>
      <c r="LK53" s="2"/>
      <c r="LT53" s="4"/>
      <c r="LV53" s="4"/>
      <c r="MI53" s="3"/>
      <c r="NB53" s="2"/>
      <c r="NC53" s="2"/>
      <c r="NJ53" s="2"/>
      <c r="NO53" s="2"/>
      <c r="NT53" s="4"/>
      <c r="OA53" s="2"/>
      <c r="OB53" s="2"/>
      <c r="OR53" s="4"/>
      <c r="OT53" s="4"/>
      <c r="PD53" s="2"/>
      <c r="PH53" s="2"/>
      <c r="PQ53" s="2"/>
      <c r="PX53" s="2"/>
      <c r="PZ53" s="2"/>
      <c r="QF53" s="4"/>
      <c r="QH53" s="4"/>
      <c r="QZ53" s="2"/>
      <c r="RA53" s="2"/>
      <c r="RN53" s="4"/>
      <c r="RO53" s="4"/>
      <c r="RR53" s="2"/>
      <c r="RT53" s="2"/>
      <c r="RU53" s="2"/>
      <c r="SA53" s="4"/>
      <c r="SC53" s="4"/>
      <c r="SN53" s="2"/>
      <c r="SQ53" s="4"/>
      <c r="SS53" s="4"/>
      <c r="TG53" s="2"/>
      <c r="TH53" s="2"/>
      <c r="TI53" s="2"/>
      <c r="TU53" s="4"/>
      <c r="TW53" s="4"/>
    </row>
    <row r="54" spans="1:543">
      <c r="A54">
        <v>6152</v>
      </c>
      <c r="B54">
        <v>2288</v>
      </c>
      <c r="C54">
        <v>2260044965</v>
      </c>
      <c r="D54" t="s">
        <v>311</v>
      </c>
      <c r="E54" t="s">
        <v>312</v>
      </c>
      <c r="F54" t="s">
        <v>313</v>
      </c>
      <c r="G54" s="2">
        <v>40481</v>
      </c>
      <c r="H54" t="s">
        <v>43</v>
      </c>
      <c r="I54" t="s">
        <v>124</v>
      </c>
      <c r="J54" t="s">
        <v>61</v>
      </c>
      <c r="K54" t="s">
        <v>314</v>
      </c>
      <c r="L54" t="s">
        <v>95</v>
      </c>
      <c r="M54" s="2">
        <v>28702</v>
      </c>
      <c r="N54" t="s">
        <v>315</v>
      </c>
      <c r="O54" s="2">
        <f>DATE(YEAR(G54) + P54, MONTH(G54), DAY(G54))</f>
        <v>64588</v>
      </c>
      <c r="P54">
        <v>66</v>
      </c>
      <c r="Q54" s="2"/>
      <c r="R54" t="s">
        <v>47</v>
      </c>
      <c r="S54" t="s">
        <v>64</v>
      </c>
      <c r="T54" s="2">
        <v>42673</v>
      </c>
      <c r="U54" t="s">
        <v>38</v>
      </c>
      <c r="V54" t="s">
        <v>39</v>
      </c>
      <c r="W54">
        <v>17</v>
      </c>
      <c r="X54" s="1">
        <v>73770</v>
      </c>
      <c r="Y54" s="1">
        <f t="shared" si="0"/>
        <v>18442.5</v>
      </c>
      <c r="Z54" s="1">
        <f t="shared" si="4"/>
        <v>55327.5</v>
      </c>
      <c r="AA54" s="3">
        <v>388</v>
      </c>
      <c r="AK54" s="3"/>
      <c r="AM54" s="4"/>
      <c r="AO54" s="4"/>
      <c r="BA54" s="2"/>
      <c r="BB54" s="2"/>
      <c r="BD54" s="4"/>
      <c r="BF54" s="4"/>
      <c r="BM54" s="2"/>
      <c r="BO54" s="4"/>
      <c r="BQ54" s="4"/>
      <c r="CH54" s="3"/>
      <c r="CI54" s="2"/>
      <c r="CJ54" s="2"/>
      <c r="CN54" s="2"/>
      <c r="CX54" s="4"/>
      <c r="DB54" s="2"/>
      <c r="DC54" s="2"/>
      <c r="DE54" s="2"/>
      <c r="DF54" s="2"/>
      <c r="DV54" s="2"/>
      <c r="DW54" s="2"/>
      <c r="EF54" s="4"/>
      <c r="EH54" s="4"/>
      <c r="ER54" s="2"/>
      <c r="ES54" s="2"/>
      <c r="EZ54" s="4"/>
      <c r="FQ54" s="4"/>
      <c r="FS54" s="4"/>
      <c r="GE54" s="2"/>
      <c r="GJ54" s="4"/>
      <c r="GL54" s="4"/>
      <c r="GR54" s="2"/>
      <c r="GV54" s="2"/>
      <c r="GW54" s="3"/>
      <c r="GX54" s="3"/>
      <c r="GY54" s="3"/>
      <c r="HB54" s="3"/>
      <c r="HP54" s="2"/>
      <c r="HS54" s="4"/>
      <c r="HU54" s="4"/>
      <c r="II54" s="4"/>
      <c r="IK54" s="4"/>
      <c r="IS54" s="2"/>
      <c r="IT54" s="2"/>
      <c r="IV54" s="2"/>
      <c r="IW54" s="4"/>
      <c r="IY54" s="4"/>
      <c r="JH54" s="2"/>
      <c r="JK54" s="4"/>
      <c r="JM54" s="4"/>
      <c r="JZ54" s="2"/>
      <c r="KD54" s="4"/>
      <c r="KF54" s="4"/>
      <c r="KJ54" s="4"/>
      <c r="KT54" s="2"/>
      <c r="KU54" s="2"/>
      <c r="KW54" s="2"/>
      <c r="LC54" s="2"/>
      <c r="LF54" s="2"/>
      <c r="LK54" s="2"/>
      <c r="LT54" s="4"/>
      <c r="LV54" s="4"/>
      <c r="MB54" s="3"/>
      <c r="NB54" s="2"/>
      <c r="NC54" s="2"/>
      <c r="NG54" s="5"/>
      <c r="NJ54" s="2"/>
      <c r="NN54" s="2"/>
      <c r="NO54" s="2"/>
      <c r="NT54" s="4"/>
      <c r="NV54" s="4"/>
      <c r="OA54" s="2"/>
      <c r="ON54" s="2"/>
      <c r="OR54" s="4"/>
      <c r="OT54" s="4"/>
      <c r="PD54" s="2"/>
      <c r="PH54" s="2"/>
      <c r="PQ54" s="2"/>
      <c r="PX54" s="2"/>
      <c r="PZ54" s="2"/>
      <c r="QH54" s="4"/>
      <c r="QZ54" s="2"/>
      <c r="RA54" s="2"/>
      <c r="RN54" s="4"/>
      <c r="RO54" s="4"/>
      <c r="RR54" s="2"/>
      <c r="RT54" s="2"/>
      <c r="RU54" s="2"/>
      <c r="SA54" s="4"/>
      <c r="SN54" s="2"/>
      <c r="SQ54" s="4"/>
      <c r="SS54" s="4"/>
      <c r="TG54" s="2"/>
      <c r="TH54" s="2"/>
      <c r="TI54" s="2"/>
      <c r="TU54" s="4"/>
      <c r="TW54" s="4"/>
    </row>
    <row r="55" spans="1:543">
      <c r="A55">
        <v>6560</v>
      </c>
      <c r="B55">
        <v>7319</v>
      </c>
      <c r="C55">
        <v>3151650091</v>
      </c>
      <c r="D55" t="s">
        <v>316</v>
      </c>
      <c r="E55" t="s">
        <v>317</v>
      </c>
      <c r="F55" t="s">
        <v>318</v>
      </c>
      <c r="G55" s="2">
        <v>38352</v>
      </c>
      <c r="H55" t="s">
        <v>43</v>
      </c>
      <c r="I55" t="s">
        <v>44</v>
      </c>
      <c r="J55" t="s">
        <v>32</v>
      </c>
      <c r="K55" t="s">
        <v>319</v>
      </c>
      <c r="L55" t="s">
        <v>77</v>
      </c>
      <c r="N55" t="s">
        <v>320</v>
      </c>
      <c r="O55" s="2">
        <f>DATE(YEAR(G55) + P55, MONTH(G55), DAY(G55))</f>
        <v>60997</v>
      </c>
      <c r="P55">
        <v>62</v>
      </c>
      <c r="Q55" s="2"/>
      <c r="R55" t="s">
        <v>47</v>
      </c>
      <c r="S55" t="s">
        <v>48</v>
      </c>
      <c r="T55" s="2">
        <v>30677</v>
      </c>
      <c r="U55" t="s">
        <v>103</v>
      </c>
      <c r="V55" t="s">
        <v>38</v>
      </c>
      <c r="W55">
        <v>5</v>
      </c>
      <c r="X55" s="1">
        <v>79870</v>
      </c>
      <c r="Y55" s="1">
        <f t="shared" si="0"/>
        <v>19967.5</v>
      </c>
      <c r="Z55" s="1">
        <f t="shared" si="4"/>
        <v>59902.5</v>
      </c>
      <c r="AA55" s="3">
        <v>927</v>
      </c>
      <c r="AK55" s="3"/>
      <c r="AM55" s="4"/>
      <c r="AO55" s="4"/>
      <c r="BA55" s="2"/>
      <c r="BB55" s="2"/>
      <c r="BD55" s="4"/>
      <c r="BF55" s="4"/>
      <c r="BM55" s="2"/>
      <c r="BO55" s="4"/>
      <c r="BQ55" s="4"/>
      <c r="CI55" s="2"/>
      <c r="CJ55" s="2"/>
      <c r="CK55" s="3"/>
      <c r="CN55" s="2"/>
      <c r="CQ55" s="2"/>
      <c r="CV55" s="4"/>
      <c r="CX55" s="4"/>
      <c r="DB55" s="2"/>
      <c r="DC55" s="2"/>
      <c r="DE55" s="2"/>
      <c r="DF55" s="2"/>
      <c r="DV55" s="2"/>
      <c r="DW55" s="2"/>
      <c r="EF55" s="4"/>
      <c r="EH55" s="4"/>
      <c r="ER55" s="2"/>
      <c r="ES55" s="2"/>
      <c r="EX55" s="4"/>
      <c r="EZ55" s="4"/>
      <c r="FQ55" s="4"/>
      <c r="GE55" s="2"/>
      <c r="GJ55" s="4"/>
      <c r="GL55" s="4"/>
      <c r="GR55" s="2"/>
      <c r="GS55" s="3"/>
      <c r="GT55" s="3"/>
      <c r="GU55" s="3"/>
      <c r="GV55" s="2"/>
      <c r="GW55" s="3"/>
      <c r="HB55" s="3"/>
      <c r="HO55" s="3"/>
      <c r="HP55" s="2"/>
      <c r="HU55" s="4"/>
      <c r="II55" s="4"/>
      <c r="IK55" s="4"/>
      <c r="IS55" s="2"/>
      <c r="IT55" s="2"/>
      <c r="IV55" s="2"/>
      <c r="IW55" s="4"/>
      <c r="IY55" s="4"/>
      <c r="JK55" s="4"/>
      <c r="JM55" s="4"/>
      <c r="JZ55" s="2"/>
      <c r="KD55" s="4"/>
      <c r="KF55" s="4"/>
      <c r="KJ55" s="4"/>
      <c r="KT55" s="2"/>
      <c r="KU55" s="2"/>
      <c r="KW55" s="2"/>
      <c r="LF55" s="2"/>
      <c r="LK55" s="2"/>
      <c r="LT55" s="4"/>
      <c r="LV55" s="4"/>
      <c r="NB55" s="2"/>
      <c r="NC55" s="2"/>
      <c r="NJ55" s="2"/>
      <c r="NM55" s="3"/>
      <c r="NN55" s="2"/>
      <c r="NO55" s="2"/>
      <c r="NT55" s="4"/>
      <c r="NV55" s="4"/>
      <c r="OA55" s="2"/>
      <c r="OB55" s="2"/>
      <c r="ON55" s="2"/>
      <c r="OR55" s="4"/>
      <c r="OT55" s="4"/>
      <c r="PD55" s="2"/>
      <c r="PQ55" s="2"/>
      <c r="PX55" s="2"/>
      <c r="PY55" s="3"/>
      <c r="PZ55" s="2"/>
      <c r="QF55" s="4"/>
      <c r="QH55" s="4"/>
      <c r="QZ55" s="2"/>
      <c r="RA55" s="2"/>
      <c r="RO55" s="4"/>
      <c r="RR55" s="2"/>
      <c r="RT55" s="2"/>
      <c r="RU55" s="2"/>
      <c r="SA55" s="4"/>
      <c r="SC55" s="4"/>
      <c r="SN55" s="2"/>
      <c r="SQ55" s="4"/>
      <c r="SS55" s="4"/>
      <c r="TG55" s="2"/>
      <c r="TH55" s="2"/>
      <c r="TI55" s="2"/>
      <c r="TN55" s="3"/>
      <c r="TU55" s="4"/>
      <c r="TW55" s="4"/>
    </row>
    <row r="56" spans="1:543">
      <c r="A56">
        <v>9668</v>
      </c>
      <c r="B56">
        <v>1895</v>
      </c>
      <c r="C56">
        <v>6057897601</v>
      </c>
      <c r="D56" t="s">
        <v>104</v>
      </c>
      <c r="E56" t="s">
        <v>321</v>
      </c>
      <c r="F56" t="s">
        <v>322</v>
      </c>
      <c r="G56" s="2">
        <v>38172</v>
      </c>
      <c r="H56" t="s">
        <v>43</v>
      </c>
      <c r="I56" t="s">
        <v>192</v>
      </c>
      <c r="J56" t="s">
        <v>61</v>
      </c>
      <c r="K56" t="s">
        <v>323</v>
      </c>
      <c r="L56" t="s">
        <v>95</v>
      </c>
      <c r="M56" s="2">
        <v>38934</v>
      </c>
      <c r="N56" t="s">
        <v>324</v>
      </c>
      <c r="O56" s="2">
        <f>DATE(YEAR(G56) + P56, MONTH(G56), DAY(G56))</f>
        <v>63009</v>
      </c>
      <c r="P56">
        <v>68</v>
      </c>
      <c r="Q56" s="2"/>
      <c r="R56" t="s">
        <v>47</v>
      </c>
      <c r="S56" t="s">
        <v>102</v>
      </c>
      <c r="T56" s="2">
        <v>30226</v>
      </c>
      <c r="U56" t="s">
        <v>133</v>
      </c>
      <c r="V56" t="s">
        <v>56</v>
      </c>
      <c r="W56">
        <v>12</v>
      </c>
      <c r="X56" s="1">
        <v>84794</v>
      </c>
      <c r="Y56" s="1">
        <f t="shared" si="0"/>
        <v>21198.5</v>
      </c>
      <c r="Z56" s="1">
        <f t="shared" si="4"/>
        <v>63595.5</v>
      </c>
      <c r="AA56" s="3">
        <v>25</v>
      </c>
      <c r="AK56" s="3"/>
      <c r="AO56" s="4"/>
      <c r="BB56" s="2"/>
      <c r="BD56" s="4"/>
      <c r="BF56" s="4"/>
      <c r="BM56" s="2"/>
      <c r="BO56" s="4"/>
      <c r="BQ56" s="4"/>
      <c r="CI56" s="2"/>
      <c r="CJ56" s="2"/>
      <c r="CN56" s="2"/>
      <c r="CQ56" s="2"/>
      <c r="CV56" s="4"/>
      <c r="CX56" s="4"/>
      <c r="DC56" s="2"/>
      <c r="DE56" s="2"/>
      <c r="DF56" s="2"/>
      <c r="DV56" s="2"/>
      <c r="DW56" s="2"/>
      <c r="EF56" s="4"/>
      <c r="EH56" s="4"/>
      <c r="ER56" s="2"/>
      <c r="ES56" s="2"/>
      <c r="EX56" s="4"/>
      <c r="EZ56" s="4"/>
      <c r="FQ56" s="4"/>
      <c r="GD56" s="3"/>
      <c r="GE56" s="2"/>
      <c r="GJ56" s="4"/>
      <c r="GL56" s="4"/>
      <c r="GR56" s="2"/>
      <c r="GS56" s="3"/>
      <c r="GU56" s="3"/>
      <c r="GV56" s="2"/>
      <c r="GX56" s="3"/>
      <c r="GY56" s="3"/>
      <c r="HB56" s="3"/>
      <c r="HP56" s="2"/>
      <c r="HQ56" s="3"/>
      <c r="HS56" s="4"/>
      <c r="HU56" s="4"/>
      <c r="II56" s="4"/>
      <c r="IK56" s="4"/>
      <c r="IS56" s="2"/>
      <c r="IV56" s="2"/>
      <c r="IW56" s="4"/>
      <c r="IY56" s="4"/>
      <c r="JH56" s="2"/>
      <c r="JK56" s="4"/>
      <c r="JM56" s="4"/>
      <c r="JZ56" s="2"/>
      <c r="KD56" s="4"/>
      <c r="KF56" s="4"/>
      <c r="KT56" s="2"/>
      <c r="KU56" s="2"/>
      <c r="KW56" s="2"/>
      <c r="LC56" s="2"/>
      <c r="LF56" s="2"/>
      <c r="LK56" s="2"/>
      <c r="LT56" s="4"/>
      <c r="LV56" s="4"/>
      <c r="NB56" s="2"/>
      <c r="NC56" s="2"/>
      <c r="NJ56" s="2"/>
      <c r="NN56" s="2"/>
      <c r="NO56" s="2"/>
      <c r="NT56" s="4"/>
      <c r="NV56" s="4"/>
      <c r="OA56" s="2"/>
      <c r="OB56" s="2"/>
      <c r="ON56" s="2"/>
      <c r="OR56" s="4"/>
      <c r="OT56" s="4"/>
      <c r="PD56" s="2"/>
      <c r="PH56" s="2"/>
      <c r="PQ56" s="2"/>
      <c r="PX56" s="2"/>
      <c r="PZ56" s="2"/>
      <c r="QF56" s="4"/>
      <c r="QH56" s="4"/>
      <c r="QZ56" s="2"/>
      <c r="RA56" s="2"/>
      <c r="RN56" s="4"/>
      <c r="RO56" s="4"/>
      <c r="RR56" s="2"/>
      <c r="RT56" s="2"/>
      <c r="RU56" s="2"/>
      <c r="SA56" s="4"/>
      <c r="SC56" s="4"/>
      <c r="SN56" s="2"/>
      <c r="SS56" s="4"/>
      <c r="TG56" s="2"/>
      <c r="TH56" s="2"/>
      <c r="TI56" s="2"/>
      <c r="TU56" s="4"/>
      <c r="TW56" s="4"/>
    </row>
    <row r="57" spans="1:543">
      <c r="A57">
        <v>918</v>
      </c>
      <c r="B57">
        <v>6846</v>
      </c>
      <c r="C57">
        <v>7019246833</v>
      </c>
      <c r="D57" t="s">
        <v>287</v>
      </c>
      <c r="E57" t="s">
        <v>325</v>
      </c>
      <c r="F57" t="s">
        <v>326</v>
      </c>
      <c r="G57" s="2">
        <v>34272</v>
      </c>
      <c r="H57" t="s">
        <v>30</v>
      </c>
      <c r="I57" t="s">
        <v>130</v>
      </c>
      <c r="J57" t="s">
        <v>32</v>
      </c>
      <c r="K57" t="s">
        <v>327</v>
      </c>
      <c r="L57" t="s">
        <v>77</v>
      </c>
      <c r="M57" s="2"/>
      <c r="N57" t="s">
        <v>328</v>
      </c>
      <c r="O57" s="2">
        <f>DATE(YEAR(G57) + P57, MONTH(G57), DAY(G57))</f>
        <v>58378</v>
      </c>
      <c r="P57">
        <v>66</v>
      </c>
      <c r="Q57" s="2"/>
      <c r="R57" t="s">
        <v>47</v>
      </c>
      <c r="S57" t="s">
        <v>102</v>
      </c>
      <c r="T57" s="2">
        <v>44870</v>
      </c>
      <c r="U57" t="s">
        <v>103</v>
      </c>
      <c r="V57" t="s">
        <v>39</v>
      </c>
      <c r="W57">
        <v>14</v>
      </c>
      <c r="X57" s="1">
        <v>63414</v>
      </c>
      <c r="Y57" s="1">
        <f t="shared" si="0"/>
        <v>15853.5</v>
      </c>
      <c r="Z57" s="1">
        <f t="shared" si="4"/>
        <v>47560.5</v>
      </c>
      <c r="AA57" s="3">
        <v>758</v>
      </c>
      <c r="AB57" s="3"/>
      <c r="AK57" s="3"/>
      <c r="AM57" s="4"/>
      <c r="AO57" s="4"/>
      <c r="BA57" s="2"/>
      <c r="BB57" s="2"/>
      <c r="BD57" s="4"/>
      <c r="BF57" s="4"/>
      <c r="BM57" s="2"/>
      <c r="BO57" s="4"/>
      <c r="CF57" s="3"/>
      <c r="CJ57" s="2"/>
      <c r="CK57" s="3"/>
      <c r="CN57" s="2"/>
      <c r="CQ57" s="2"/>
      <c r="CV57" s="4"/>
      <c r="CX57" s="4"/>
      <c r="DB57" s="2"/>
      <c r="DC57" s="2"/>
      <c r="DF57" s="2"/>
      <c r="DV57" s="2"/>
      <c r="DW57" s="2"/>
      <c r="EF57" s="4"/>
      <c r="EH57" s="4"/>
      <c r="ER57" s="2"/>
      <c r="ES57" s="2"/>
      <c r="EX57" s="4"/>
      <c r="EZ57" s="4"/>
      <c r="FQ57" s="4"/>
      <c r="FS57" s="4"/>
      <c r="GE57" s="2"/>
      <c r="GJ57" s="4"/>
      <c r="GL57" s="4"/>
      <c r="GR57" s="2"/>
      <c r="GS57" s="3"/>
      <c r="GT57" s="3"/>
      <c r="GU57" s="3"/>
      <c r="GV57" s="2"/>
      <c r="GY57" s="3"/>
      <c r="HB57" s="3"/>
      <c r="HN57" s="3"/>
      <c r="HP57" s="2"/>
      <c r="HS57" s="4"/>
      <c r="HU57" s="4"/>
      <c r="II57" s="4"/>
      <c r="IK57" s="4"/>
      <c r="IS57" s="2"/>
      <c r="IT57" s="2"/>
      <c r="IV57" s="2"/>
      <c r="IW57" s="4"/>
      <c r="IY57" s="4"/>
      <c r="JH57" s="2"/>
      <c r="JK57" s="4"/>
      <c r="JM57" s="4"/>
      <c r="JZ57" s="2"/>
      <c r="KD57" s="4"/>
      <c r="KF57" s="4"/>
      <c r="KJ57" s="4"/>
      <c r="KT57" s="2"/>
      <c r="KU57" s="2"/>
      <c r="KW57" s="2"/>
      <c r="LC57" s="2"/>
      <c r="LF57" s="2"/>
      <c r="LK57" s="2"/>
      <c r="LT57" s="4"/>
      <c r="LV57" s="4"/>
      <c r="MD57" s="3"/>
      <c r="NB57" s="2"/>
      <c r="NC57" s="2"/>
      <c r="NG57" s="5"/>
      <c r="NJ57" s="2"/>
      <c r="NN57" s="2"/>
      <c r="NO57" s="2"/>
      <c r="NP57" s="3"/>
      <c r="NT57" s="4"/>
      <c r="NV57" s="4"/>
      <c r="OA57" s="2"/>
      <c r="OB57" s="2"/>
      <c r="ON57" s="2"/>
      <c r="OR57" s="4"/>
      <c r="OT57" s="4"/>
      <c r="PD57" s="2"/>
      <c r="PH57" s="2"/>
      <c r="PQ57" s="2"/>
      <c r="PX57" s="2"/>
      <c r="PZ57" s="2"/>
      <c r="QF57" s="4"/>
      <c r="QH57" s="4"/>
      <c r="QX57" s="3"/>
      <c r="QZ57" s="2"/>
      <c r="RA57" s="2"/>
      <c r="RN57" s="4"/>
      <c r="RO57" s="4"/>
      <c r="RR57" s="2"/>
      <c r="RT57" s="2"/>
      <c r="RU57" s="2"/>
      <c r="SA57" s="4"/>
      <c r="SC57" s="4"/>
      <c r="SQ57" s="4"/>
      <c r="SS57" s="4"/>
      <c r="TG57" s="2"/>
      <c r="TH57" s="2"/>
      <c r="TI57" s="2"/>
      <c r="TU57" s="4"/>
      <c r="TW57" s="4"/>
    </row>
    <row r="58" spans="1:543">
      <c r="A58">
        <v>4999</v>
      </c>
      <c r="B58">
        <v>9426</v>
      </c>
      <c r="C58">
        <v>4484456084</v>
      </c>
      <c r="D58" t="s">
        <v>79</v>
      </c>
      <c r="E58" t="s">
        <v>329</v>
      </c>
      <c r="F58" t="s">
        <v>330</v>
      </c>
      <c r="G58" s="2">
        <v>38208</v>
      </c>
      <c r="H58" t="s">
        <v>30</v>
      </c>
      <c r="I58" t="s">
        <v>331</v>
      </c>
      <c r="J58" t="s">
        <v>32</v>
      </c>
      <c r="K58" t="s">
        <v>332</v>
      </c>
      <c r="L58" t="s">
        <v>34</v>
      </c>
      <c r="M58" s="2"/>
      <c r="N58" t="s">
        <v>333</v>
      </c>
      <c r="O58" s="2">
        <f>DATE(YEAR(G58) + P58, MONTH(G58), DAY(G58))</f>
        <v>63410</v>
      </c>
      <c r="P58">
        <v>69</v>
      </c>
      <c r="Q58" s="2"/>
      <c r="R58" t="s">
        <v>47</v>
      </c>
      <c r="S58" t="s">
        <v>102</v>
      </c>
      <c r="T58" s="2">
        <v>45778</v>
      </c>
      <c r="U58" t="s">
        <v>49</v>
      </c>
      <c r="V58" t="s">
        <v>39</v>
      </c>
      <c r="W58">
        <v>18</v>
      </c>
      <c r="X58" s="1">
        <v>56490</v>
      </c>
      <c r="Y58" s="1">
        <f t="shared" si="0"/>
        <v>14122.5</v>
      </c>
      <c r="Z58" s="1">
        <f t="shared" si="4"/>
        <v>42367.5</v>
      </c>
      <c r="AA58" s="3">
        <v>874</v>
      </c>
      <c r="AB58" s="3"/>
      <c r="AK58" s="3"/>
      <c r="AM58" s="4"/>
      <c r="AO58" s="4"/>
      <c r="BA58" s="2"/>
      <c r="BB58" s="2"/>
      <c r="BD58" s="4"/>
      <c r="BF58" s="4"/>
      <c r="BM58" s="2"/>
      <c r="BO58" s="4"/>
      <c r="BQ58" s="4"/>
      <c r="CI58" s="2"/>
      <c r="CJ58" s="2"/>
      <c r="CM58" s="3"/>
      <c r="CN58" s="2"/>
      <c r="CQ58" s="2"/>
      <c r="CX58" s="4"/>
      <c r="DB58" s="2"/>
      <c r="DC58" s="2"/>
      <c r="DE58" s="2"/>
      <c r="DF58" s="2"/>
      <c r="DV58" s="2"/>
      <c r="DW58" s="2"/>
      <c r="EF58" s="4"/>
      <c r="EH58" s="4"/>
      <c r="ER58" s="2"/>
      <c r="EX58" s="4"/>
      <c r="EZ58" s="4"/>
      <c r="FQ58" s="4"/>
      <c r="FS58" s="4"/>
      <c r="GE58" s="2"/>
      <c r="GJ58" s="4"/>
      <c r="GL58" s="4"/>
      <c r="GR58" s="2"/>
      <c r="GV58" s="2"/>
      <c r="GY58" s="3"/>
      <c r="HB58" s="3"/>
      <c r="HN58" s="3"/>
      <c r="HP58" s="2"/>
      <c r="HS58" s="4"/>
      <c r="HU58" s="4"/>
      <c r="II58" s="4"/>
      <c r="IK58" s="4"/>
      <c r="IS58" s="2"/>
      <c r="IT58" s="2"/>
      <c r="IW58" s="4"/>
      <c r="IY58" s="4"/>
      <c r="JH58" s="2"/>
      <c r="JK58" s="4"/>
      <c r="JM58" s="4"/>
      <c r="JZ58" s="2"/>
      <c r="KD58" s="4"/>
      <c r="KF58" s="4"/>
      <c r="KI58" s="3"/>
      <c r="KJ58" s="4"/>
      <c r="KT58" s="2"/>
      <c r="KU58" s="2"/>
      <c r="KW58" s="2"/>
      <c r="LC58" s="2"/>
      <c r="LK58" s="2"/>
      <c r="LT58" s="4"/>
      <c r="NC58" s="2"/>
      <c r="NN58" s="2"/>
      <c r="NT58" s="4"/>
      <c r="NV58" s="4"/>
      <c r="OA58" s="2"/>
      <c r="OB58" s="2"/>
      <c r="ON58" s="2"/>
      <c r="OO58" s="3"/>
      <c r="OR58" s="4"/>
      <c r="OT58" s="4"/>
      <c r="PD58" s="2"/>
      <c r="PH58" s="2"/>
      <c r="PQ58" s="2"/>
      <c r="PX58" s="2"/>
      <c r="PZ58" s="2"/>
      <c r="QF58" s="4"/>
      <c r="QH58" s="4"/>
      <c r="QZ58" s="2"/>
      <c r="RA58" s="2"/>
      <c r="RN58" s="4"/>
      <c r="RO58" s="4"/>
      <c r="RR58" s="2"/>
      <c r="RT58" s="2"/>
      <c r="SC58" s="4"/>
      <c r="SN58" s="2"/>
      <c r="SQ58" s="4"/>
      <c r="SS58" s="4"/>
      <c r="TG58" s="2"/>
      <c r="TU58" s="4"/>
      <c r="TW58" s="4"/>
    </row>
    <row r="59" spans="1:543">
      <c r="A59">
        <v>7765</v>
      </c>
      <c r="B59">
        <v>1148</v>
      </c>
      <c r="C59">
        <v>7395966297</v>
      </c>
      <c r="D59" t="s">
        <v>233</v>
      </c>
      <c r="E59" t="s">
        <v>334</v>
      </c>
      <c r="F59" t="s">
        <v>335</v>
      </c>
      <c r="G59" s="2">
        <v>40529</v>
      </c>
      <c r="H59" t="s">
        <v>43</v>
      </c>
      <c r="I59" t="s">
        <v>70</v>
      </c>
      <c r="J59" t="s">
        <v>61</v>
      </c>
      <c r="K59" t="s">
        <v>336</v>
      </c>
      <c r="L59" t="s">
        <v>77</v>
      </c>
      <c r="M59" s="2">
        <v>23844</v>
      </c>
      <c r="N59" t="s">
        <v>337</v>
      </c>
      <c r="O59" s="2">
        <f>DATE(YEAR(G59) + P59, MONTH(G59), DAY(G59))</f>
        <v>65731</v>
      </c>
      <c r="P59">
        <v>69</v>
      </c>
      <c r="Q59" s="2">
        <v>43754</v>
      </c>
      <c r="R59" t="s">
        <v>36</v>
      </c>
      <c r="S59" t="s">
        <v>181</v>
      </c>
      <c r="T59" s="2">
        <v>45658</v>
      </c>
      <c r="U59" t="s">
        <v>38</v>
      </c>
      <c r="V59" t="s">
        <v>39</v>
      </c>
      <c r="W59">
        <v>23</v>
      </c>
      <c r="X59" s="1">
        <v>42187</v>
      </c>
      <c r="Y59" s="1">
        <f t="shared" si="0"/>
        <v>10546.75</v>
      </c>
      <c r="Z59" s="1">
        <f t="shared" si="4"/>
        <v>31640.25</v>
      </c>
      <c r="AA59" s="3">
        <v>59</v>
      </c>
      <c r="AK59" s="3"/>
      <c r="AM59" s="4"/>
      <c r="BA59" s="2"/>
      <c r="BB59" s="2"/>
      <c r="BD59" s="4"/>
      <c r="BF59" s="4"/>
      <c r="BM59" s="2"/>
      <c r="BO59" s="4"/>
      <c r="BQ59" s="4"/>
      <c r="CI59" s="2"/>
      <c r="CJ59" s="2"/>
      <c r="CN59" s="2"/>
      <c r="CQ59" s="2"/>
      <c r="CV59" s="4"/>
      <c r="CX59" s="4"/>
      <c r="DB59" s="2"/>
      <c r="DC59" s="2"/>
      <c r="DE59" s="2"/>
      <c r="DF59" s="2"/>
      <c r="DV59" s="2"/>
      <c r="DW59" s="2"/>
      <c r="EH59" s="4"/>
      <c r="ER59" s="2"/>
      <c r="ES59" s="2"/>
      <c r="EU59" s="3"/>
      <c r="EX59" s="4"/>
      <c r="EZ59" s="4"/>
      <c r="FQ59" s="4"/>
      <c r="FS59" s="4"/>
      <c r="GE59" s="2"/>
      <c r="GJ59" s="4"/>
      <c r="GL59" s="4"/>
      <c r="GR59" s="2"/>
      <c r="GV59" s="2"/>
      <c r="GW59" s="3"/>
      <c r="GX59" s="3"/>
      <c r="GY59" s="3"/>
      <c r="HP59" s="2"/>
      <c r="HS59" s="4"/>
      <c r="HU59" s="4"/>
      <c r="IF59" s="3"/>
      <c r="II59" s="4"/>
      <c r="IK59" s="4"/>
      <c r="IS59" s="2"/>
      <c r="IT59" s="2"/>
      <c r="IV59" s="2"/>
      <c r="IW59" s="4"/>
      <c r="IY59" s="4"/>
      <c r="JK59" s="4"/>
      <c r="JM59" s="4"/>
      <c r="JZ59" s="2"/>
      <c r="KC59" s="3"/>
      <c r="KD59" s="4"/>
      <c r="KF59" s="4"/>
      <c r="KJ59" s="4"/>
      <c r="KT59" s="2"/>
      <c r="KU59" s="2"/>
      <c r="KW59" s="2"/>
      <c r="LC59" s="2"/>
      <c r="LF59" s="2"/>
      <c r="LK59" s="2"/>
      <c r="LT59" s="4"/>
      <c r="MF59" s="3"/>
      <c r="NB59" s="2"/>
      <c r="NC59" s="2"/>
      <c r="NJ59" s="2"/>
      <c r="NN59" s="2"/>
      <c r="NO59" s="2"/>
      <c r="NT59" s="4"/>
      <c r="NV59" s="4"/>
      <c r="OA59" s="2"/>
      <c r="OB59" s="2"/>
      <c r="ON59" s="2"/>
      <c r="OR59" s="4"/>
      <c r="OT59" s="4"/>
      <c r="PD59" s="2"/>
      <c r="PH59" s="2"/>
      <c r="PQ59" s="2"/>
      <c r="PX59" s="2"/>
      <c r="PZ59" s="2"/>
      <c r="QF59" s="4"/>
      <c r="QH59" s="4"/>
      <c r="QZ59" s="2"/>
      <c r="RA59" s="2"/>
      <c r="RN59" s="4"/>
      <c r="RO59" s="4"/>
      <c r="RR59" s="2"/>
      <c r="RT59" s="2"/>
      <c r="RU59" s="2"/>
      <c r="SA59" s="4"/>
      <c r="SC59" s="4"/>
      <c r="SQ59" s="4"/>
      <c r="SS59" s="4"/>
      <c r="TG59" s="2"/>
      <c r="TH59" s="2"/>
      <c r="TI59" s="2"/>
      <c r="TO59" s="3"/>
      <c r="TU59" s="4"/>
      <c r="TW59" s="4"/>
    </row>
    <row r="60" spans="1:543">
      <c r="A60">
        <v>7644</v>
      </c>
      <c r="B60">
        <v>35</v>
      </c>
      <c r="C60">
        <v>4914878490</v>
      </c>
      <c r="D60" t="s">
        <v>228</v>
      </c>
      <c r="E60" t="s">
        <v>338</v>
      </c>
      <c r="F60" t="s">
        <v>339</v>
      </c>
      <c r="G60" s="2">
        <v>40386</v>
      </c>
      <c r="H60" t="s">
        <v>43</v>
      </c>
      <c r="I60" t="s">
        <v>331</v>
      </c>
      <c r="J60" t="s">
        <v>61</v>
      </c>
      <c r="K60" t="s">
        <v>340</v>
      </c>
      <c r="L60" t="s">
        <v>95</v>
      </c>
      <c r="M60" s="2">
        <v>39114</v>
      </c>
      <c r="N60" t="s">
        <v>341</v>
      </c>
      <c r="O60" s="2">
        <f>DATE(YEAR(G60) + P60, MONTH(G60), DAY(G60))</f>
        <v>64127</v>
      </c>
      <c r="P60">
        <v>65</v>
      </c>
      <c r="Q60" s="2"/>
      <c r="R60" t="s">
        <v>47</v>
      </c>
      <c r="S60" t="s">
        <v>102</v>
      </c>
      <c r="T60" s="2">
        <v>42735</v>
      </c>
      <c r="U60" t="s">
        <v>38</v>
      </c>
      <c r="V60" t="s">
        <v>66</v>
      </c>
      <c r="W60">
        <v>24</v>
      </c>
      <c r="X60" s="1">
        <v>43718</v>
      </c>
      <c r="Y60" s="1">
        <f t="shared" si="0"/>
        <v>10929.5</v>
      </c>
      <c r="Z60" s="1">
        <f t="shared" si="4"/>
        <v>32788.5</v>
      </c>
      <c r="AA60" s="3">
        <v>74</v>
      </c>
      <c r="AK60" s="3"/>
      <c r="AM60" s="4"/>
      <c r="AO60" s="4"/>
      <c r="BA60" s="2"/>
      <c r="BB60" s="2"/>
      <c r="BD60" s="4"/>
      <c r="BF60" s="4"/>
      <c r="BM60" s="2"/>
      <c r="BO60" s="4"/>
      <c r="BQ60" s="4"/>
      <c r="CI60" s="2"/>
      <c r="CJ60" s="2"/>
      <c r="CN60" s="2"/>
      <c r="CQ60" s="2"/>
      <c r="CV60" s="4"/>
      <c r="CX60" s="4"/>
      <c r="CZ60" s="3"/>
      <c r="DB60" s="2"/>
      <c r="DC60" s="2"/>
      <c r="DD60" s="3"/>
      <c r="DE60" s="2"/>
      <c r="DF60" s="2"/>
      <c r="DV60" s="2"/>
      <c r="DW60" s="2"/>
      <c r="EF60" s="4"/>
      <c r="EH60" s="4"/>
      <c r="ER60" s="2"/>
      <c r="ES60" s="2"/>
      <c r="EX60" s="4"/>
      <c r="EZ60" s="4"/>
      <c r="FQ60" s="4"/>
      <c r="FS60" s="4"/>
      <c r="GE60" s="2"/>
      <c r="GJ60" s="4"/>
      <c r="GL60" s="4"/>
      <c r="GT60" s="3"/>
      <c r="GV60" s="2"/>
      <c r="GW60" s="3"/>
      <c r="GX60" s="3"/>
      <c r="HB60" s="3"/>
      <c r="HP60" s="2"/>
      <c r="HS60" s="4"/>
      <c r="HU60" s="4"/>
      <c r="II60" s="4"/>
      <c r="IK60" s="4"/>
      <c r="IS60" s="2"/>
      <c r="IT60" s="2"/>
      <c r="IV60" s="2"/>
      <c r="IW60" s="4"/>
      <c r="JH60" s="2"/>
      <c r="JK60" s="4"/>
      <c r="JM60" s="4"/>
      <c r="JZ60" s="2"/>
      <c r="KD60" s="4"/>
      <c r="KF60" s="4"/>
      <c r="KJ60" s="4"/>
      <c r="KT60" s="2"/>
      <c r="KU60" s="2"/>
      <c r="KW60" s="2"/>
      <c r="LC60" s="2"/>
      <c r="LF60" s="2"/>
      <c r="LK60" s="2"/>
      <c r="LT60" s="4"/>
      <c r="LV60" s="4"/>
      <c r="ME60" s="3"/>
      <c r="NB60" s="2"/>
      <c r="NC60" s="2"/>
      <c r="NJ60" s="2"/>
      <c r="NN60" s="2"/>
      <c r="NO60" s="2"/>
      <c r="NT60" s="4"/>
      <c r="NV60" s="4"/>
      <c r="OA60" s="2"/>
      <c r="OB60" s="2"/>
      <c r="OK60" s="3"/>
      <c r="ON60" s="2"/>
      <c r="OR60" s="4"/>
      <c r="OT60" s="4"/>
      <c r="PD60" s="2"/>
      <c r="PH60" s="2"/>
      <c r="PQ60" s="2"/>
      <c r="PX60" s="2"/>
      <c r="PZ60" s="2"/>
      <c r="QF60" s="4"/>
      <c r="QH60" s="4"/>
      <c r="QZ60" s="2"/>
      <c r="RN60" s="4"/>
      <c r="RO60" s="4"/>
      <c r="RR60" s="2"/>
      <c r="RT60" s="2"/>
      <c r="RU60" s="2"/>
      <c r="SA60" s="4"/>
      <c r="SC60" s="4"/>
      <c r="SN60" s="2"/>
      <c r="SQ60" s="4"/>
      <c r="SS60" s="4"/>
      <c r="TG60" s="2"/>
      <c r="TH60" s="2"/>
      <c r="TI60" s="2"/>
      <c r="TP60" s="3"/>
      <c r="TU60" s="4"/>
      <c r="TW60" s="4"/>
    </row>
    <row r="61" spans="1:543">
      <c r="A61">
        <v>4488</v>
      </c>
      <c r="B61">
        <v>8899</v>
      </c>
      <c r="C61">
        <v>1100644068</v>
      </c>
      <c r="D61" t="s">
        <v>91</v>
      </c>
      <c r="E61" t="s">
        <v>342</v>
      </c>
      <c r="F61" t="s">
        <v>343</v>
      </c>
      <c r="G61" s="2">
        <v>29525</v>
      </c>
      <c r="H61" t="s">
        <v>43</v>
      </c>
      <c r="I61" t="s">
        <v>130</v>
      </c>
      <c r="J61" t="s">
        <v>32</v>
      </c>
      <c r="K61" t="s">
        <v>344</v>
      </c>
      <c r="L61" t="s">
        <v>77</v>
      </c>
      <c r="N61" t="s">
        <v>345</v>
      </c>
      <c r="O61" s="2">
        <f>DATE(YEAR(G61) + P61, MONTH(G61), DAY(G61))</f>
        <v>52535</v>
      </c>
      <c r="P61">
        <v>63</v>
      </c>
      <c r="Q61" s="2">
        <v>45602</v>
      </c>
      <c r="R61" t="s">
        <v>36</v>
      </c>
      <c r="S61" t="s">
        <v>181</v>
      </c>
      <c r="T61" s="2">
        <v>25899</v>
      </c>
      <c r="U61" t="s">
        <v>103</v>
      </c>
      <c r="V61" t="s">
        <v>66</v>
      </c>
      <c r="W61">
        <v>25</v>
      </c>
      <c r="X61" s="1">
        <v>59824</v>
      </c>
      <c r="Y61" s="1">
        <f t="shared" si="0"/>
        <v>14956</v>
      </c>
      <c r="Z61" s="1">
        <f t="shared" si="4"/>
        <v>44868</v>
      </c>
      <c r="AA61" s="3">
        <v>41</v>
      </c>
      <c r="AK61" s="3"/>
      <c r="AM61" s="4"/>
      <c r="AO61" s="4"/>
      <c r="BA61" s="2"/>
      <c r="BB61" s="2"/>
      <c r="BD61" s="4"/>
      <c r="BF61" s="4"/>
      <c r="BM61" s="2"/>
      <c r="BO61" s="4"/>
      <c r="BQ61" s="4"/>
      <c r="CI61" s="2"/>
      <c r="CJ61" s="2"/>
      <c r="CL61" s="3"/>
      <c r="CN61" s="2"/>
      <c r="CQ61" s="2"/>
      <c r="CV61" s="4"/>
      <c r="DB61" s="2"/>
      <c r="DC61" s="2"/>
      <c r="DE61" s="2"/>
      <c r="DF61" s="2"/>
      <c r="DV61" s="2"/>
      <c r="DW61" s="2"/>
      <c r="EF61" s="4"/>
      <c r="EH61" s="4"/>
      <c r="ER61" s="2"/>
      <c r="ES61" s="2"/>
      <c r="EX61" s="4"/>
      <c r="FQ61" s="4"/>
      <c r="GG61" s="3"/>
      <c r="GJ61" s="4"/>
      <c r="GL61" s="4"/>
      <c r="GR61" s="2"/>
      <c r="GS61" s="3"/>
      <c r="GT61" s="3"/>
      <c r="GV61" s="2"/>
      <c r="GX61" s="3"/>
      <c r="HB61" s="3"/>
      <c r="HP61" s="2"/>
      <c r="HS61" s="4"/>
      <c r="HU61" s="4"/>
      <c r="II61" s="4"/>
      <c r="IK61" s="4"/>
      <c r="IS61" s="2"/>
      <c r="IT61" s="2"/>
      <c r="IW61" s="4"/>
      <c r="IY61" s="4"/>
      <c r="JH61" s="2"/>
      <c r="JK61" s="4"/>
      <c r="JM61" s="4"/>
      <c r="JZ61" s="2"/>
      <c r="KD61" s="4"/>
      <c r="KF61" s="4"/>
      <c r="KJ61" s="4"/>
      <c r="KU61" s="2"/>
      <c r="KW61" s="2"/>
      <c r="LC61" s="2"/>
      <c r="LF61" s="2"/>
      <c r="LK61" s="2"/>
      <c r="LT61" s="4"/>
      <c r="LV61" s="4"/>
      <c r="ME61" s="3"/>
      <c r="NB61" s="2"/>
      <c r="NC61" s="2"/>
      <c r="NG61" s="5"/>
      <c r="NJ61" s="2"/>
      <c r="NN61" s="2"/>
      <c r="NO61" s="2"/>
      <c r="NT61" s="4"/>
      <c r="OA61" s="2"/>
      <c r="OB61" s="2"/>
      <c r="ON61" s="2"/>
      <c r="OR61" s="4"/>
      <c r="OT61" s="4"/>
      <c r="PD61" s="2"/>
      <c r="PH61" s="2"/>
      <c r="PX61" s="2"/>
      <c r="PZ61" s="2"/>
      <c r="QF61" s="4"/>
      <c r="QH61" s="4"/>
      <c r="QZ61" s="2"/>
      <c r="RA61" s="2"/>
      <c r="RN61" s="4"/>
      <c r="RO61" s="4"/>
      <c r="RR61" s="2"/>
      <c r="SA61" s="4"/>
      <c r="SC61" s="4"/>
      <c r="SM61" s="3"/>
      <c r="SN61" s="2"/>
      <c r="SQ61" s="4"/>
      <c r="SS61" s="4"/>
      <c r="TG61" s="2"/>
      <c r="TH61" s="2"/>
      <c r="TI61" s="2"/>
      <c r="TU61" s="4"/>
      <c r="TW61" s="4"/>
    </row>
    <row r="62" spans="1:543">
      <c r="A62">
        <v>6206</v>
      </c>
      <c r="B62">
        <v>2409</v>
      </c>
      <c r="C62">
        <v>5668437764</v>
      </c>
      <c r="D62" t="s">
        <v>316</v>
      </c>
      <c r="E62" t="s">
        <v>346</v>
      </c>
      <c r="F62" t="s">
        <v>347</v>
      </c>
      <c r="G62" s="2">
        <v>35989</v>
      </c>
      <c r="H62" t="s">
        <v>43</v>
      </c>
      <c r="I62" t="s">
        <v>124</v>
      </c>
      <c r="J62" t="s">
        <v>32</v>
      </c>
      <c r="K62" t="s">
        <v>348</v>
      </c>
      <c r="L62" t="s">
        <v>95</v>
      </c>
      <c r="M62" s="2"/>
      <c r="N62" t="s">
        <v>349</v>
      </c>
      <c r="O62" s="2">
        <f>DATE(YEAR(G62) + P62, MONTH(G62), DAY(G62))</f>
        <v>57904</v>
      </c>
      <c r="P62">
        <v>60</v>
      </c>
      <c r="Q62" s="2"/>
      <c r="R62" t="s">
        <v>47</v>
      </c>
      <c r="S62" t="s">
        <v>64</v>
      </c>
      <c r="T62" s="2">
        <v>32477</v>
      </c>
      <c r="U62" t="s">
        <v>65</v>
      </c>
      <c r="V62" t="s">
        <v>56</v>
      </c>
      <c r="W62">
        <v>19</v>
      </c>
      <c r="X62" s="1">
        <v>25710</v>
      </c>
      <c r="Y62" s="1">
        <f t="shared" si="0"/>
        <v>6427.5</v>
      </c>
      <c r="Z62" s="1">
        <f t="shared" si="4"/>
        <v>19282.5</v>
      </c>
      <c r="AA62" s="3">
        <v>418</v>
      </c>
      <c r="AK62" s="3"/>
      <c r="AM62" s="4"/>
      <c r="AO62" s="4"/>
      <c r="BB62" s="2"/>
      <c r="BD62" s="4"/>
      <c r="BF62" s="4"/>
      <c r="BM62" s="2"/>
      <c r="BO62" s="4"/>
      <c r="BQ62" s="4"/>
      <c r="CI62" s="2"/>
      <c r="CJ62" s="2"/>
      <c r="CN62" s="2"/>
      <c r="CQ62" s="2"/>
      <c r="CV62" s="4"/>
      <c r="DB62" s="2"/>
      <c r="DC62" s="2"/>
      <c r="DE62" s="2"/>
      <c r="DV62" s="2"/>
      <c r="EF62" s="4"/>
      <c r="EH62" s="4"/>
      <c r="ER62" s="2"/>
      <c r="ES62" s="2"/>
      <c r="EX62" s="4"/>
      <c r="EZ62" s="4"/>
      <c r="FQ62" s="4"/>
      <c r="FS62" s="4"/>
      <c r="GE62" s="2"/>
      <c r="GJ62" s="4"/>
      <c r="GL62" s="4"/>
      <c r="GR62" s="2"/>
      <c r="GS62" s="3"/>
      <c r="GU62" s="3"/>
      <c r="GV62" s="2"/>
      <c r="HB62" s="3"/>
      <c r="HP62" s="2"/>
      <c r="HS62" s="4"/>
      <c r="HU62" s="4"/>
      <c r="IF62" s="3"/>
      <c r="II62" s="4"/>
      <c r="IK62" s="4"/>
      <c r="IS62" s="2"/>
      <c r="IT62" s="2"/>
      <c r="IV62" s="2"/>
      <c r="IW62" s="4"/>
      <c r="IY62" s="4"/>
      <c r="JH62" s="2"/>
      <c r="JK62" s="4"/>
      <c r="JZ62" s="2"/>
      <c r="KA62" s="3"/>
      <c r="KD62" s="4"/>
      <c r="KF62" s="4"/>
      <c r="KJ62" s="4"/>
      <c r="KT62" s="2"/>
      <c r="KU62" s="2"/>
      <c r="KW62" s="2"/>
      <c r="LC62" s="2"/>
      <c r="LH62" s="3"/>
      <c r="LK62" s="2"/>
      <c r="LT62" s="4"/>
      <c r="LV62" s="4"/>
      <c r="NB62" s="2"/>
      <c r="NC62" s="2"/>
      <c r="NJ62" s="2"/>
      <c r="NN62" s="2"/>
      <c r="NO62" s="2"/>
      <c r="NT62" s="4"/>
      <c r="NV62" s="4"/>
      <c r="OA62" s="2"/>
      <c r="OB62" s="2"/>
      <c r="OJ62" s="3"/>
      <c r="ON62" s="2"/>
      <c r="OT62" s="4"/>
      <c r="PD62" s="2"/>
      <c r="PH62" s="2"/>
      <c r="PQ62" s="2"/>
      <c r="PX62" s="2"/>
      <c r="PZ62" s="2"/>
      <c r="QF62" s="4"/>
      <c r="QZ62" s="2"/>
      <c r="RA62" s="2"/>
      <c r="RO62" s="4"/>
      <c r="RR62" s="2"/>
      <c r="RT62" s="2"/>
      <c r="RU62" s="2"/>
      <c r="SA62" s="4"/>
      <c r="SC62" s="4"/>
      <c r="SS62" s="4"/>
      <c r="TG62" s="2"/>
      <c r="TH62" s="2"/>
      <c r="TI62" s="2"/>
      <c r="TU62" s="4"/>
      <c r="TW62" s="4"/>
    </row>
    <row r="63" spans="1:543">
      <c r="A63">
        <v>3297</v>
      </c>
      <c r="B63">
        <v>4586</v>
      </c>
      <c r="C63">
        <v>4674021008</v>
      </c>
      <c r="D63" t="s">
        <v>185</v>
      </c>
      <c r="E63" t="s">
        <v>350</v>
      </c>
      <c r="F63" t="s">
        <v>351</v>
      </c>
      <c r="G63" s="2">
        <v>40304</v>
      </c>
      <c r="H63" t="s">
        <v>30</v>
      </c>
      <c r="I63" t="s">
        <v>236</v>
      </c>
      <c r="J63" t="s">
        <v>61</v>
      </c>
      <c r="K63" t="s">
        <v>352</v>
      </c>
      <c r="L63" t="s">
        <v>34</v>
      </c>
      <c r="M63" s="2">
        <v>44182</v>
      </c>
      <c r="N63" t="s">
        <v>353</v>
      </c>
      <c r="O63" s="2">
        <f>DATE(YEAR(G63) + P63, MONTH(G63), DAY(G63))</f>
        <v>65872</v>
      </c>
      <c r="P63">
        <v>70</v>
      </c>
      <c r="Q63" s="2"/>
      <c r="R63" t="s">
        <v>47</v>
      </c>
      <c r="S63" t="s">
        <v>37</v>
      </c>
      <c r="T63" s="2">
        <v>25202</v>
      </c>
      <c r="U63" t="s">
        <v>38</v>
      </c>
      <c r="V63" t="s">
        <v>39</v>
      </c>
      <c r="W63">
        <v>18</v>
      </c>
      <c r="X63" s="1">
        <v>25342</v>
      </c>
      <c r="Y63" s="1">
        <f t="shared" si="0"/>
        <v>6335.5</v>
      </c>
      <c r="Z63" s="1">
        <f t="shared" si="4"/>
        <v>19006.5</v>
      </c>
      <c r="AA63" s="3">
        <v>643</v>
      </c>
      <c r="AK63" s="3"/>
      <c r="AM63" s="4"/>
      <c r="AO63" s="4"/>
      <c r="BA63" s="2"/>
      <c r="BB63" s="2"/>
      <c r="BD63" s="4"/>
      <c r="BF63" s="4"/>
      <c r="BM63" s="2"/>
      <c r="BO63" s="4"/>
      <c r="BQ63" s="4"/>
      <c r="CI63" s="2"/>
      <c r="CJ63" s="2"/>
      <c r="CM63" s="3"/>
      <c r="CN63" s="2"/>
      <c r="CQ63" s="2"/>
      <c r="CV63" s="4"/>
      <c r="CX63" s="4"/>
      <c r="DB63" s="2"/>
      <c r="DC63" s="2"/>
      <c r="DE63" s="2"/>
      <c r="DF63" s="2"/>
      <c r="DV63" s="2"/>
      <c r="DW63" s="2"/>
      <c r="EH63" s="4"/>
      <c r="ER63" s="2"/>
      <c r="ES63" s="2"/>
      <c r="EX63" s="4"/>
      <c r="EZ63" s="4"/>
      <c r="FQ63" s="4"/>
      <c r="FS63" s="4"/>
      <c r="GE63" s="2"/>
      <c r="GG63" s="3"/>
      <c r="GJ63" s="4"/>
      <c r="GR63" s="2"/>
      <c r="GT63" s="3"/>
      <c r="GV63" s="2"/>
      <c r="HB63" s="3"/>
      <c r="HO63" s="3"/>
      <c r="HP63" s="2"/>
      <c r="HS63" s="4"/>
      <c r="HU63" s="4"/>
      <c r="IK63" s="4"/>
      <c r="IS63" s="2"/>
      <c r="IT63" s="2"/>
      <c r="IV63" s="2"/>
      <c r="IW63" s="4"/>
      <c r="IY63" s="4"/>
      <c r="JK63" s="4"/>
      <c r="JM63" s="4"/>
      <c r="JZ63" s="2"/>
      <c r="KD63" s="4"/>
      <c r="KF63" s="4"/>
      <c r="KJ63" s="4"/>
      <c r="KT63" s="2"/>
      <c r="KU63" s="2"/>
      <c r="KW63" s="2"/>
      <c r="LC63" s="2"/>
      <c r="LF63" s="2"/>
      <c r="LT63" s="4"/>
      <c r="LV63" s="4"/>
      <c r="ML63" s="3"/>
      <c r="NB63" s="2"/>
      <c r="NC63" s="2"/>
      <c r="NG63" s="5"/>
      <c r="NJ63" s="2"/>
      <c r="NN63" s="2"/>
      <c r="NO63" s="2"/>
      <c r="NT63" s="4"/>
      <c r="NV63" s="4"/>
      <c r="OA63" s="2"/>
      <c r="OB63" s="2"/>
      <c r="ON63" s="2"/>
      <c r="OO63" s="3"/>
      <c r="OT63" s="4"/>
      <c r="PD63" s="2"/>
      <c r="PH63" s="2"/>
      <c r="PN63" s="3"/>
      <c r="PQ63" s="2"/>
      <c r="PX63" s="2"/>
      <c r="PZ63" s="2"/>
      <c r="QF63" s="4"/>
      <c r="QH63" s="4"/>
      <c r="QZ63" s="2"/>
      <c r="RA63" s="2"/>
      <c r="RN63" s="4"/>
      <c r="RO63" s="4"/>
      <c r="RR63" s="2"/>
      <c r="RT63" s="2"/>
      <c r="RU63" s="2"/>
      <c r="SA63" s="4"/>
      <c r="SC63" s="4"/>
      <c r="SN63" s="2"/>
      <c r="SQ63" s="4"/>
      <c r="SS63" s="4"/>
      <c r="TG63" s="2"/>
      <c r="TH63" s="2"/>
      <c r="TI63" s="2"/>
      <c r="TU63" s="4"/>
      <c r="TW63" s="4"/>
    </row>
    <row r="64" spans="1:543">
      <c r="A64">
        <v>3660</v>
      </c>
      <c r="B64">
        <v>8074</v>
      </c>
      <c r="C64">
        <v>9472215946</v>
      </c>
      <c r="D64" t="s">
        <v>72</v>
      </c>
      <c r="E64" t="s">
        <v>354</v>
      </c>
      <c r="F64" t="s">
        <v>355</v>
      </c>
      <c r="G64" s="2">
        <v>38991</v>
      </c>
      <c r="H64" t="s">
        <v>43</v>
      </c>
      <c r="I64" t="s">
        <v>236</v>
      </c>
      <c r="J64" t="s">
        <v>61</v>
      </c>
      <c r="K64" t="s">
        <v>356</v>
      </c>
      <c r="L64" t="s">
        <v>77</v>
      </c>
      <c r="M64" s="2">
        <v>41380</v>
      </c>
      <c r="N64" t="s">
        <v>357</v>
      </c>
      <c r="O64" s="2">
        <f>DATE(YEAR(G64) + P64, MONTH(G64), DAY(G64))</f>
        <v>62732</v>
      </c>
      <c r="P64">
        <v>65</v>
      </c>
      <c r="Q64" s="2"/>
      <c r="R64" t="s">
        <v>47</v>
      </c>
      <c r="S64" t="s">
        <v>181</v>
      </c>
      <c r="T64" s="2">
        <v>41965</v>
      </c>
      <c r="U64" t="s">
        <v>133</v>
      </c>
      <c r="V64" t="s">
        <v>66</v>
      </c>
      <c r="W64">
        <v>1</v>
      </c>
      <c r="X64" s="1">
        <v>20710</v>
      </c>
      <c r="Y64" s="1">
        <f t="shared" si="0"/>
        <v>5177.5</v>
      </c>
      <c r="Z64" s="1">
        <f t="shared" si="4"/>
        <v>15532.5</v>
      </c>
      <c r="AA64" s="3">
        <v>626</v>
      </c>
      <c r="AK64" s="3"/>
      <c r="AM64" s="4"/>
      <c r="AO64" s="4"/>
      <c r="BA64" s="2"/>
      <c r="BD64" s="4"/>
      <c r="BF64" s="4"/>
      <c r="BM64" s="2"/>
      <c r="BO64" s="4"/>
      <c r="BQ64" s="4"/>
      <c r="CI64" s="2"/>
      <c r="CJ64" s="2"/>
      <c r="CN64" s="2"/>
      <c r="CQ64" s="2"/>
      <c r="CV64" s="4"/>
      <c r="CX64" s="4"/>
      <c r="DB64" s="2"/>
      <c r="DC64" s="2"/>
      <c r="DE64" s="2"/>
      <c r="DF64" s="2"/>
      <c r="DV64" s="2"/>
      <c r="DW64" s="2"/>
      <c r="EF64" s="4"/>
      <c r="EH64" s="4"/>
      <c r="ER64" s="2"/>
      <c r="ES64" s="2"/>
      <c r="EX64" s="4"/>
      <c r="EZ64" s="4"/>
      <c r="FQ64" s="4"/>
      <c r="FS64" s="4"/>
      <c r="GE64" s="2"/>
      <c r="GJ64" s="4"/>
      <c r="GL64" s="4"/>
      <c r="GR64" s="2"/>
      <c r="GT64" s="3"/>
      <c r="GU64" s="3"/>
      <c r="GV64" s="2"/>
      <c r="GX64" s="3"/>
      <c r="GY64" s="3"/>
      <c r="HB64" s="3"/>
      <c r="HP64" s="2"/>
      <c r="HS64" s="4"/>
      <c r="HU64" s="4"/>
      <c r="II64" s="4"/>
      <c r="IS64" s="2"/>
      <c r="IT64" s="2"/>
      <c r="IV64" s="2"/>
      <c r="IW64" s="4"/>
      <c r="JH64" s="2"/>
      <c r="JK64" s="4"/>
      <c r="JZ64" s="2"/>
      <c r="KD64" s="4"/>
      <c r="KF64" s="4"/>
      <c r="KJ64" s="4"/>
      <c r="KT64" s="2"/>
      <c r="KU64" s="2"/>
      <c r="KW64" s="2"/>
      <c r="LC64" s="2"/>
      <c r="LF64" s="2"/>
      <c r="LK64" s="2"/>
      <c r="LT64" s="4"/>
      <c r="LV64" s="4"/>
      <c r="MA64" s="3"/>
      <c r="MD64" s="3"/>
      <c r="MG64" s="3"/>
      <c r="NB64" s="2"/>
      <c r="NC64" s="2"/>
      <c r="NH64" s="3"/>
      <c r="NJ64" s="2"/>
      <c r="NN64" s="2"/>
      <c r="NT64" s="4"/>
      <c r="NV64" s="4"/>
      <c r="OA64" s="2"/>
      <c r="OB64" s="2"/>
      <c r="ON64" s="2"/>
      <c r="OR64" s="4"/>
      <c r="OT64" s="4"/>
      <c r="PD64" s="2"/>
      <c r="PH64" s="2"/>
      <c r="PQ64" s="2"/>
      <c r="PX64" s="2"/>
      <c r="PY64" s="3"/>
      <c r="PZ64" s="2"/>
      <c r="QF64" s="4"/>
      <c r="QH64" s="4"/>
      <c r="QZ64" s="2"/>
      <c r="RA64" s="2"/>
      <c r="RN64" s="4"/>
      <c r="RO64" s="4"/>
      <c r="RR64" s="2"/>
      <c r="RT64" s="2"/>
      <c r="RU64" s="2"/>
      <c r="SA64" s="4"/>
      <c r="SC64" s="4"/>
      <c r="SS64" s="4"/>
      <c r="TG64" s="2"/>
      <c r="TH64" s="2"/>
      <c r="TN64" s="3"/>
      <c r="TU64" s="4"/>
    </row>
    <row r="65" spans="1:543">
      <c r="A65">
        <v>9081</v>
      </c>
      <c r="B65">
        <v>8036</v>
      </c>
      <c r="C65">
        <v>3536070284</v>
      </c>
      <c r="D65" t="s">
        <v>121</v>
      </c>
      <c r="E65" t="s">
        <v>358</v>
      </c>
      <c r="F65" t="s">
        <v>359</v>
      </c>
      <c r="G65" s="2">
        <v>40342</v>
      </c>
      <c r="H65" t="s">
        <v>43</v>
      </c>
      <c r="I65" t="s">
        <v>148</v>
      </c>
      <c r="J65" t="s">
        <v>32</v>
      </c>
      <c r="K65" t="s">
        <v>360</v>
      </c>
      <c r="L65" t="s">
        <v>77</v>
      </c>
      <c r="M65" s="2"/>
      <c r="N65" t="s">
        <v>361</v>
      </c>
      <c r="O65" s="2">
        <f>DATE(YEAR(G65) + P65, MONTH(G65), DAY(G65))</f>
        <v>64449</v>
      </c>
      <c r="P65">
        <v>66</v>
      </c>
      <c r="Q65" s="2"/>
      <c r="R65" t="s">
        <v>47</v>
      </c>
      <c r="S65" t="s">
        <v>64</v>
      </c>
      <c r="T65" s="2">
        <v>36738</v>
      </c>
      <c r="U65" t="s">
        <v>133</v>
      </c>
      <c r="V65" t="s">
        <v>66</v>
      </c>
      <c r="W65">
        <v>4</v>
      </c>
      <c r="X65" s="1">
        <v>4312</v>
      </c>
      <c r="Y65" s="1">
        <f t="shared" si="0"/>
        <v>1078</v>
      </c>
      <c r="Z65" s="1">
        <f t="shared" si="4"/>
        <v>3234</v>
      </c>
      <c r="AA65" s="3">
        <v>94</v>
      </c>
      <c r="AK65" s="3"/>
      <c r="AM65" s="4"/>
      <c r="AO65" s="4"/>
      <c r="BA65" s="2"/>
      <c r="BD65" s="4"/>
      <c r="BF65" s="4"/>
      <c r="BM65" s="2"/>
      <c r="BO65" s="4"/>
      <c r="BQ65" s="4"/>
      <c r="CI65" s="2"/>
      <c r="CJ65" s="2"/>
      <c r="CL65" s="3"/>
      <c r="CN65" s="2"/>
      <c r="CQ65" s="2"/>
      <c r="CV65" s="4"/>
      <c r="CX65" s="4"/>
      <c r="DB65" s="2"/>
      <c r="DC65" s="2"/>
      <c r="DE65" s="2"/>
      <c r="DF65" s="2"/>
      <c r="DG65" s="3"/>
      <c r="DV65" s="2"/>
      <c r="DW65" s="2"/>
      <c r="EF65" s="4"/>
      <c r="EH65" s="4"/>
      <c r="ER65" s="2"/>
      <c r="ES65" s="2"/>
      <c r="EX65" s="4"/>
      <c r="EZ65" s="4"/>
      <c r="FQ65" s="4"/>
      <c r="FS65" s="4"/>
      <c r="GE65" s="2"/>
      <c r="GJ65" s="4"/>
      <c r="GL65" s="4"/>
      <c r="GR65" s="2"/>
      <c r="GS65" s="3"/>
      <c r="GT65" s="3"/>
      <c r="GU65" s="3"/>
      <c r="GV65" s="2"/>
      <c r="GY65" s="3"/>
      <c r="HB65" s="3"/>
      <c r="HP65" s="2"/>
      <c r="HS65" s="4"/>
      <c r="HU65" s="4"/>
      <c r="II65" s="4"/>
      <c r="IK65" s="4"/>
      <c r="IS65" s="2"/>
      <c r="IT65" s="2"/>
      <c r="IV65" s="2"/>
      <c r="IW65" s="4"/>
      <c r="JH65" s="2"/>
      <c r="JK65" s="4"/>
      <c r="JM65" s="4"/>
      <c r="JZ65" s="2"/>
      <c r="KD65" s="4"/>
      <c r="KF65" s="4"/>
      <c r="KJ65" s="4"/>
      <c r="KT65" s="2"/>
      <c r="KU65" s="2"/>
      <c r="KW65" s="2"/>
      <c r="LC65" s="2"/>
      <c r="LF65" s="2"/>
      <c r="LK65" s="2"/>
      <c r="LT65" s="4"/>
      <c r="LV65" s="4"/>
      <c r="NB65" s="2"/>
      <c r="NC65" s="2"/>
      <c r="NJ65" s="2"/>
      <c r="NN65" s="2"/>
      <c r="NO65" s="2"/>
      <c r="NT65" s="4"/>
      <c r="OA65" s="2"/>
      <c r="OB65" s="2"/>
      <c r="ON65" s="2"/>
      <c r="OR65" s="4"/>
      <c r="OT65" s="4"/>
      <c r="PD65" s="2"/>
      <c r="PH65" s="2"/>
      <c r="PI65" s="3"/>
      <c r="PQ65" s="2"/>
      <c r="PX65" s="2"/>
      <c r="PZ65" s="2"/>
      <c r="QF65" s="4"/>
      <c r="QH65" s="4"/>
      <c r="QZ65" s="2"/>
      <c r="RA65" s="2"/>
      <c r="RM65" s="3"/>
      <c r="RN65" s="4"/>
      <c r="RR65" s="2"/>
      <c r="RT65" s="2"/>
      <c r="RU65" s="2"/>
      <c r="SA65" s="4"/>
      <c r="SC65" s="4"/>
      <c r="SN65" s="2"/>
      <c r="SQ65" s="4"/>
      <c r="SS65" s="4"/>
      <c r="TG65" s="2"/>
      <c r="TH65" s="2"/>
      <c r="TI65" s="2"/>
      <c r="TU65" s="4"/>
      <c r="TW65" s="4"/>
    </row>
    <row r="66" spans="1:543">
      <c r="A66">
        <v>998</v>
      </c>
      <c r="B66">
        <v>3126</v>
      </c>
      <c r="C66" s="3" t="s">
        <v>362</v>
      </c>
      <c r="D66" t="s">
        <v>363</v>
      </c>
      <c r="E66" t="s">
        <v>364</v>
      </c>
      <c r="F66" t="s">
        <v>365</v>
      </c>
      <c r="G66" s="2">
        <v>40156</v>
      </c>
      <c r="H66" t="s">
        <v>43</v>
      </c>
      <c r="I66" t="s">
        <v>148</v>
      </c>
      <c r="J66" t="s">
        <v>32</v>
      </c>
      <c r="K66" t="s">
        <v>366</v>
      </c>
      <c r="L66" t="s">
        <v>95</v>
      </c>
      <c r="M66" s="2"/>
      <c r="N66" t="s">
        <v>367</v>
      </c>
      <c r="O66" s="2">
        <f>DATE(YEAR(G66) + P66, MONTH(G66), DAY(G66))</f>
        <v>62071</v>
      </c>
      <c r="P66">
        <v>60</v>
      </c>
      <c r="Q66" s="2"/>
      <c r="R66" t="s">
        <v>47</v>
      </c>
      <c r="S66" t="s">
        <v>102</v>
      </c>
      <c r="T66" s="2">
        <v>39485</v>
      </c>
      <c r="U66" t="s">
        <v>38</v>
      </c>
      <c r="V66" t="s">
        <v>38</v>
      </c>
      <c r="W66">
        <v>6</v>
      </c>
      <c r="X66" s="1">
        <v>0</v>
      </c>
      <c r="Y66" s="1">
        <f t="shared" si="0"/>
        <v>0</v>
      </c>
      <c r="Z66" s="1">
        <f t="shared" si="4"/>
        <v>0</v>
      </c>
      <c r="AA66" s="3">
        <v>48</v>
      </c>
      <c r="AK66" s="3"/>
      <c r="AM66" s="4"/>
      <c r="AO66" s="4"/>
      <c r="BA66" s="2"/>
      <c r="BD66" s="4"/>
      <c r="BF66" s="4"/>
      <c r="BM66" s="2"/>
      <c r="BO66" s="4"/>
      <c r="BQ66" s="4"/>
      <c r="CI66" s="2"/>
      <c r="CJ66" s="2"/>
      <c r="CP66" s="3"/>
      <c r="CQ66" s="2"/>
      <c r="CV66" s="4"/>
      <c r="CX66" s="4"/>
      <c r="DB66" s="2"/>
      <c r="DC66" s="2"/>
      <c r="DE66" s="2"/>
      <c r="DF66" s="2"/>
      <c r="DV66" s="2"/>
      <c r="DW66" s="2"/>
      <c r="EF66" s="4"/>
      <c r="EH66" s="4"/>
      <c r="ER66" s="2"/>
      <c r="ES66" s="2"/>
      <c r="EX66" s="4"/>
      <c r="EZ66" s="4"/>
      <c r="FQ66" s="4"/>
      <c r="FS66" s="4"/>
      <c r="GE66" s="2"/>
      <c r="GJ66" s="4"/>
      <c r="GL66" s="4"/>
      <c r="GR66" s="2"/>
      <c r="GS66" s="3"/>
      <c r="GV66" s="2"/>
      <c r="GX66" s="3"/>
      <c r="HO66" s="3"/>
      <c r="HP66" s="2"/>
      <c r="HS66" s="4"/>
      <c r="HU66" s="4"/>
      <c r="II66" s="4"/>
      <c r="IK66" s="4"/>
      <c r="IS66" s="2"/>
      <c r="IT66" s="2"/>
      <c r="IV66" s="2"/>
      <c r="IW66" s="4"/>
      <c r="IY66" s="4"/>
      <c r="JH66" s="2"/>
      <c r="JK66" s="4"/>
      <c r="JM66" s="4"/>
      <c r="JZ66" s="2"/>
      <c r="KD66" s="4"/>
      <c r="KF66" s="4"/>
      <c r="KJ66" s="4"/>
      <c r="KT66" s="2"/>
      <c r="KU66" s="2"/>
      <c r="LC66" s="2"/>
      <c r="LF66" s="2"/>
      <c r="LK66" s="2"/>
      <c r="LT66" s="4"/>
      <c r="LV66" s="4"/>
      <c r="NC66" s="2"/>
      <c r="NJ66" s="2"/>
      <c r="NN66" s="2"/>
      <c r="NO66" s="2"/>
      <c r="NT66" s="4"/>
      <c r="NV66" s="4"/>
      <c r="OA66" s="2"/>
      <c r="OB66" s="2"/>
      <c r="ON66" s="2"/>
      <c r="OO66" s="3"/>
      <c r="OR66" s="4"/>
      <c r="OT66" s="4"/>
      <c r="PD66" s="2"/>
      <c r="PH66" s="2"/>
      <c r="PQ66" s="2"/>
      <c r="PX66" s="2"/>
      <c r="PZ66" s="2"/>
      <c r="QF66" s="4"/>
      <c r="QH66" s="4"/>
      <c r="QZ66" s="2"/>
      <c r="RA66" s="2"/>
      <c r="RN66" s="4"/>
      <c r="RO66" s="4"/>
      <c r="RR66" s="2"/>
      <c r="RT66" s="2"/>
      <c r="RU66" s="2"/>
      <c r="SA66" s="4"/>
      <c r="SC66" s="4"/>
      <c r="SM66" s="3"/>
      <c r="SN66" s="2"/>
      <c r="SQ66" s="4"/>
      <c r="SS66" s="4"/>
      <c r="TG66" s="2"/>
      <c r="TH66" s="2"/>
      <c r="TI66" s="2"/>
      <c r="TU66" s="4"/>
      <c r="TW66" s="4"/>
    </row>
    <row r="67" spans="1:543">
      <c r="A67">
        <v>2872</v>
      </c>
      <c r="B67">
        <v>7911</v>
      </c>
      <c r="C67" s="3" t="s">
        <v>368</v>
      </c>
      <c r="D67" t="s">
        <v>67</v>
      </c>
      <c r="E67" t="s">
        <v>369</v>
      </c>
      <c r="F67" t="s">
        <v>370</v>
      </c>
      <c r="G67" s="2">
        <v>40510</v>
      </c>
      <c r="H67" t="s">
        <v>30</v>
      </c>
      <c r="I67" t="s">
        <v>279</v>
      </c>
      <c r="J67" t="s">
        <v>32</v>
      </c>
      <c r="K67" t="s">
        <v>371</v>
      </c>
      <c r="L67" t="s">
        <v>77</v>
      </c>
      <c r="M67" s="2"/>
      <c r="N67" t="s">
        <v>372</v>
      </c>
      <c r="O67" s="2">
        <f>DATE(YEAR(G67) + P67, MONTH(G67), DAY(G67))</f>
        <v>63156</v>
      </c>
      <c r="P67">
        <v>62</v>
      </c>
      <c r="Q67" s="2"/>
      <c r="R67" t="s">
        <v>47</v>
      </c>
      <c r="S67" t="s">
        <v>109</v>
      </c>
      <c r="T67" s="2">
        <v>44074</v>
      </c>
      <c r="U67" t="s">
        <v>65</v>
      </c>
      <c r="V67" t="s">
        <v>66</v>
      </c>
      <c r="W67">
        <v>24</v>
      </c>
      <c r="X67" s="1">
        <v>69439</v>
      </c>
      <c r="Y67" s="1">
        <f t="shared" ref="Y67:Y100" si="5">X67*0.25</f>
        <v>17359.75</v>
      </c>
      <c r="Z67" s="1">
        <f t="shared" si="4"/>
        <v>52079.25</v>
      </c>
      <c r="AA67" s="3">
        <v>729</v>
      </c>
      <c r="AK67" s="3"/>
      <c r="AM67" s="4"/>
      <c r="AO67" s="4"/>
      <c r="BA67" s="2"/>
      <c r="BB67" s="2"/>
      <c r="BD67" s="4"/>
      <c r="BF67" s="4"/>
      <c r="BM67" s="2"/>
      <c r="BO67" s="4"/>
      <c r="BQ67" s="4"/>
      <c r="CI67" s="2"/>
      <c r="CJ67" s="2"/>
      <c r="CN67" s="2"/>
      <c r="CQ67" s="2"/>
      <c r="CV67" s="4"/>
      <c r="CX67" s="4"/>
      <c r="DB67" s="2"/>
      <c r="DC67" s="2"/>
      <c r="DE67" s="2"/>
      <c r="DF67" s="2"/>
      <c r="DV67" s="2"/>
      <c r="DW67" s="2"/>
      <c r="EF67" s="4"/>
      <c r="EH67" s="4"/>
      <c r="EV67" s="3"/>
      <c r="EX67" s="4"/>
      <c r="EZ67" s="4"/>
      <c r="FQ67" s="4"/>
      <c r="FS67" s="4"/>
      <c r="GE67" s="2"/>
      <c r="GJ67" s="4"/>
      <c r="GL67" s="4"/>
      <c r="GR67" s="2"/>
      <c r="GT67" s="3"/>
      <c r="GU67" s="3"/>
      <c r="GV67" s="2"/>
      <c r="GW67" s="3"/>
      <c r="HB67" s="3"/>
      <c r="HO67" s="3"/>
      <c r="HP67" s="2"/>
      <c r="HS67" s="4"/>
      <c r="HU67" s="4"/>
      <c r="II67" s="4"/>
      <c r="IK67" s="4"/>
      <c r="IS67" s="2"/>
      <c r="IT67" s="2"/>
      <c r="IV67" s="2"/>
      <c r="IW67" s="4"/>
      <c r="IY67" s="4"/>
      <c r="JH67" s="2"/>
      <c r="JK67" s="4"/>
      <c r="JM67" s="4"/>
      <c r="JZ67" s="2"/>
      <c r="KD67" s="4"/>
      <c r="KF67" s="4"/>
      <c r="KJ67" s="4"/>
      <c r="KT67" s="2"/>
      <c r="KU67" s="2"/>
      <c r="KW67" s="2"/>
      <c r="LC67" s="2"/>
      <c r="LF67" s="2"/>
      <c r="LK67" s="2"/>
      <c r="LT67" s="4"/>
      <c r="LV67" s="4"/>
      <c r="NC67" s="2"/>
      <c r="NJ67" s="2"/>
      <c r="NN67" s="2"/>
      <c r="NO67" s="2"/>
      <c r="NT67" s="4"/>
      <c r="NV67" s="4"/>
      <c r="OA67" s="2"/>
      <c r="OB67" s="2"/>
      <c r="ON67" s="2"/>
      <c r="OR67" s="4"/>
      <c r="OT67" s="4"/>
      <c r="PD67" s="2"/>
      <c r="PH67" s="2"/>
      <c r="PP67" s="3"/>
      <c r="PQ67" s="2"/>
      <c r="PX67" s="2"/>
      <c r="PZ67" s="2"/>
      <c r="QF67" s="4"/>
      <c r="QH67" s="4"/>
      <c r="QX67" s="3"/>
      <c r="QZ67" s="2"/>
      <c r="RA67" s="2"/>
      <c r="RN67" s="4"/>
      <c r="RO67" s="4"/>
      <c r="RR67" s="2"/>
      <c r="RT67" s="2"/>
      <c r="RU67" s="2"/>
      <c r="SA67" s="4"/>
      <c r="SC67" s="4"/>
      <c r="SN67" s="2"/>
      <c r="SQ67" s="4"/>
      <c r="SS67" s="4"/>
      <c r="TG67" s="2"/>
      <c r="TH67" s="2"/>
      <c r="TI67" s="2"/>
      <c r="TP67" s="3"/>
      <c r="TU67" s="4"/>
      <c r="TW67" s="4"/>
    </row>
    <row r="68" spans="1:543">
      <c r="A68">
        <v>6236</v>
      </c>
      <c r="B68">
        <v>4412</v>
      </c>
      <c r="C68">
        <v>3125840891</v>
      </c>
      <c r="D68" t="s">
        <v>104</v>
      </c>
      <c r="E68" t="s">
        <v>373</v>
      </c>
      <c r="F68" t="s">
        <v>374</v>
      </c>
      <c r="G68" s="2">
        <v>37803</v>
      </c>
      <c r="H68" t="s">
        <v>43</v>
      </c>
      <c r="I68" t="s">
        <v>44</v>
      </c>
      <c r="J68" t="s">
        <v>32</v>
      </c>
      <c r="K68" t="s">
        <v>375</v>
      </c>
      <c r="L68" t="s">
        <v>95</v>
      </c>
      <c r="M68" s="2"/>
      <c r="N68" t="s">
        <v>376</v>
      </c>
      <c r="O68" s="2">
        <f>DATE(YEAR(G68) + P68, MONTH(G68), DAY(G68))</f>
        <v>60814</v>
      </c>
      <c r="P68">
        <v>63</v>
      </c>
      <c r="Q68" s="2"/>
      <c r="R68" t="s">
        <v>47</v>
      </c>
      <c r="S68" t="s">
        <v>181</v>
      </c>
      <c r="T68" s="2">
        <v>45274</v>
      </c>
      <c r="U68" t="s">
        <v>49</v>
      </c>
      <c r="V68" t="s">
        <v>66</v>
      </c>
      <c r="W68">
        <v>20</v>
      </c>
      <c r="X68" s="1">
        <v>67795</v>
      </c>
      <c r="Y68" s="1">
        <f t="shared" si="5"/>
        <v>16948.75</v>
      </c>
      <c r="Z68" s="1">
        <f t="shared" si="4"/>
        <v>50846.25</v>
      </c>
      <c r="AA68" s="3">
        <v>254</v>
      </c>
      <c r="AK68" s="3"/>
      <c r="AM68" s="4"/>
      <c r="AO68" s="4"/>
      <c r="BA68" s="2"/>
      <c r="BB68" s="2"/>
      <c r="BD68" s="4"/>
      <c r="BF68" s="4"/>
      <c r="BM68" s="2"/>
      <c r="BQ68" s="4"/>
      <c r="CI68" s="2"/>
      <c r="CJ68" s="2"/>
      <c r="CN68" s="2"/>
      <c r="CQ68" s="2"/>
      <c r="CV68" s="4"/>
      <c r="CX68" s="4"/>
      <c r="DB68" s="2"/>
      <c r="DC68" s="2"/>
      <c r="DE68" s="2"/>
      <c r="DF68" s="2"/>
      <c r="DV68" s="2"/>
      <c r="DW68" s="2"/>
      <c r="EF68" s="4"/>
      <c r="EH68" s="4"/>
      <c r="ER68" s="2"/>
      <c r="ES68" s="2"/>
      <c r="EX68" s="4"/>
      <c r="EZ68" s="4"/>
      <c r="FQ68" s="4"/>
      <c r="FS68" s="4"/>
      <c r="GE68" s="2"/>
      <c r="GJ68" s="4"/>
      <c r="GR68" s="2"/>
      <c r="GS68" s="3"/>
      <c r="GU68" s="3"/>
      <c r="GV68" s="2"/>
      <c r="HB68" s="3"/>
      <c r="HP68" s="2"/>
      <c r="HS68" s="4"/>
      <c r="HU68" s="4"/>
      <c r="II68" s="4"/>
      <c r="IK68" s="4"/>
      <c r="IS68" s="2"/>
      <c r="IV68" s="2"/>
      <c r="IW68" s="4"/>
      <c r="IY68" s="4"/>
      <c r="JH68" s="2"/>
      <c r="JK68" s="4"/>
      <c r="JM68" s="4"/>
      <c r="JZ68" s="2"/>
      <c r="KA68" s="3"/>
      <c r="KD68" s="4"/>
      <c r="KF68" s="4"/>
      <c r="KJ68" s="4"/>
      <c r="KT68" s="2"/>
      <c r="KU68" s="2"/>
      <c r="KW68" s="2"/>
      <c r="LC68" s="2"/>
      <c r="LF68" s="2"/>
      <c r="LK68" s="2"/>
      <c r="LT68" s="4"/>
      <c r="LV68" s="4"/>
      <c r="NB68" s="2"/>
      <c r="NC68" s="2"/>
      <c r="NJ68" s="2"/>
      <c r="NN68" s="2"/>
      <c r="NO68" s="2"/>
      <c r="NT68" s="4"/>
      <c r="NV68" s="4"/>
      <c r="OA68" s="2"/>
      <c r="OB68" s="2"/>
      <c r="ON68" s="2"/>
      <c r="OR68" s="4"/>
      <c r="OT68" s="4"/>
      <c r="PD68" s="2"/>
      <c r="PH68" s="2"/>
      <c r="PQ68" s="2"/>
      <c r="PX68" s="2"/>
      <c r="PZ68" s="2"/>
      <c r="QF68" s="4"/>
      <c r="QH68" s="4"/>
      <c r="QZ68" s="2"/>
      <c r="RA68" s="2"/>
      <c r="RM68" s="3"/>
      <c r="RN68" s="4"/>
      <c r="RO68" s="4"/>
      <c r="RR68" s="2"/>
      <c r="RT68" s="2"/>
      <c r="RU68" s="2"/>
      <c r="SC68" s="4"/>
      <c r="SN68" s="2"/>
      <c r="SQ68" s="4"/>
      <c r="SS68" s="4"/>
      <c r="TG68" s="2"/>
      <c r="TH68" s="2"/>
      <c r="TI68" s="2"/>
      <c r="TU68" s="4"/>
      <c r="TW68" s="4"/>
    </row>
    <row r="69" spans="1:543">
      <c r="A69">
        <v>1853</v>
      </c>
      <c r="B69">
        <v>6289</v>
      </c>
      <c r="C69">
        <v>1089052926</v>
      </c>
      <c r="D69" t="s">
        <v>272</v>
      </c>
      <c r="E69" t="s">
        <v>377</v>
      </c>
      <c r="F69" t="s">
        <v>378</v>
      </c>
      <c r="G69" s="2" t="s">
        <v>379</v>
      </c>
      <c r="H69" t="s">
        <v>43</v>
      </c>
      <c r="I69" t="s">
        <v>130</v>
      </c>
      <c r="J69" t="s">
        <v>32</v>
      </c>
      <c r="K69" t="s">
        <v>380</v>
      </c>
      <c r="L69" t="s">
        <v>34</v>
      </c>
      <c r="M69" s="2"/>
      <c r="N69" t="s">
        <v>381</v>
      </c>
      <c r="O69" s="2">
        <v>60833</v>
      </c>
      <c r="P69">
        <v>64</v>
      </c>
      <c r="Q69" s="2"/>
      <c r="R69" t="s">
        <v>47</v>
      </c>
      <c r="S69" t="s">
        <v>48</v>
      </c>
      <c r="T69" t="s">
        <v>382</v>
      </c>
      <c r="U69" t="s">
        <v>49</v>
      </c>
      <c r="V69" t="s">
        <v>66</v>
      </c>
      <c r="W69">
        <v>12</v>
      </c>
      <c r="X69" s="1">
        <v>23016</v>
      </c>
      <c r="Y69" s="1">
        <f t="shared" si="5"/>
        <v>5754</v>
      </c>
      <c r="Z69" s="1">
        <f t="shared" si="4"/>
        <v>17262</v>
      </c>
      <c r="AA69" s="3">
        <v>720</v>
      </c>
      <c r="AK69" s="3"/>
      <c r="AM69" s="4"/>
      <c r="AO69" s="4"/>
      <c r="BA69" s="2"/>
      <c r="BD69" s="4"/>
      <c r="BM69" s="2"/>
      <c r="BO69" s="4"/>
      <c r="CI69" s="2"/>
      <c r="CJ69" s="2"/>
      <c r="CN69" s="2"/>
      <c r="CQ69" s="2"/>
      <c r="CV69" s="4"/>
      <c r="CX69" s="4"/>
      <c r="DA69" s="3"/>
      <c r="DB69" s="2"/>
      <c r="DC69" s="2"/>
      <c r="DE69" s="2"/>
      <c r="DV69" s="2"/>
      <c r="DW69" s="2"/>
      <c r="DX69" s="3"/>
      <c r="EC69" s="3"/>
      <c r="EF69" s="4"/>
      <c r="EH69" s="4"/>
      <c r="ER69" s="2"/>
      <c r="ES69" s="2"/>
      <c r="EX69" s="4"/>
      <c r="EZ69" s="4"/>
      <c r="FQ69" s="4"/>
      <c r="FS69" s="4"/>
      <c r="GE69" s="2"/>
      <c r="GJ69" s="4"/>
      <c r="GL69" s="4"/>
      <c r="GR69" s="2"/>
      <c r="GV69" s="2"/>
      <c r="GW69" s="3"/>
      <c r="GX69" s="3"/>
      <c r="HB69" s="3"/>
      <c r="HP69" s="2"/>
      <c r="HU69" s="4"/>
      <c r="II69" s="4"/>
      <c r="IK69" s="4"/>
      <c r="IS69" s="2"/>
      <c r="IT69" s="2"/>
      <c r="IV69" s="2"/>
      <c r="IW69" s="4"/>
      <c r="IY69" s="4"/>
      <c r="JK69" s="4"/>
      <c r="JM69" s="4"/>
      <c r="JZ69" s="2"/>
      <c r="KC69" s="3"/>
      <c r="KD69" s="4"/>
      <c r="KF69" s="4"/>
      <c r="KJ69" s="4"/>
      <c r="KT69" s="2"/>
      <c r="KU69" s="2"/>
      <c r="KW69" s="2"/>
      <c r="LC69" s="2"/>
      <c r="LF69" s="2"/>
      <c r="LT69" s="4"/>
      <c r="LV69" s="4"/>
      <c r="MI69" s="3"/>
      <c r="NB69" s="2"/>
      <c r="NC69" s="2"/>
      <c r="NJ69" s="2"/>
      <c r="NN69" s="2"/>
      <c r="NT69" s="4"/>
      <c r="NV69" s="4"/>
      <c r="OA69" s="2"/>
      <c r="OB69" s="2"/>
      <c r="ON69" s="2"/>
      <c r="OR69" s="4"/>
      <c r="OT69" s="4"/>
      <c r="PD69" s="2"/>
      <c r="PH69" s="2"/>
      <c r="PQ69" s="2"/>
      <c r="PX69" s="2"/>
      <c r="PZ69" s="2"/>
      <c r="QF69" s="4"/>
      <c r="QH69" s="4"/>
      <c r="QZ69" s="2"/>
      <c r="RA69" s="2"/>
      <c r="RN69" s="4"/>
      <c r="RO69" s="4"/>
      <c r="RR69" s="2"/>
      <c r="RT69" s="2"/>
      <c r="RU69" s="2"/>
      <c r="SA69" s="4"/>
      <c r="SC69" s="4"/>
      <c r="SN69" s="2"/>
      <c r="SQ69" s="4"/>
      <c r="SS69" s="4"/>
      <c r="TG69" s="2"/>
      <c r="TH69" s="2"/>
      <c r="TI69" s="2"/>
      <c r="TU69" s="4"/>
    </row>
    <row r="70" spans="1:543">
      <c r="A70">
        <v>9629</v>
      </c>
      <c r="B70">
        <v>1503</v>
      </c>
      <c r="C70">
        <v>9282597298</v>
      </c>
      <c r="D70" t="s">
        <v>27</v>
      </c>
      <c r="E70" t="s">
        <v>383</v>
      </c>
      <c r="F70" t="s">
        <v>384</v>
      </c>
      <c r="G70" s="2">
        <v>39501</v>
      </c>
      <c r="H70" t="s">
        <v>43</v>
      </c>
      <c r="I70" t="s">
        <v>331</v>
      </c>
      <c r="J70" t="s">
        <v>32</v>
      </c>
      <c r="K70" t="s">
        <v>385</v>
      </c>
      <c r="L70" t="s">
        <v>77</v>
      </c>
      <c r="M70" s="2"/>
      <c r="N70" t="s">
        <v>386</v>
      </c>
      <c r="O70" s="2">
        <f>DATE(YEAR(G70) + P70, MONTH(G70), DAY(G70))</f>
        <v>65069</v>
      </c>
      <c r="P70">
        <v>70</v>
      </c>
      <c r="Q70" s="2"/>
      <c r="R70" t="s">
        <v>47</v>
      </c>
      <c r="S70" t="s">
        <v>102</v>
      </c>
      <c r="T70" s="2">
        <v>27478</v>
      </c>
      <c r="U70" t="s">
        <v>133</v>
      </c>
      <c r="V70" t="s">
        <v>56</v>
      </c>
      <c r="W70">
        <v>3</v>
      </c>
      <c r="X70" s="1">
        <v>44302</v>
      </c>
      <c r="Y70" s="1">
        <f t="shared" si="5"/>
        <v>11075.5</v>
      </c>
      <c r="Z70" s="1">
        <f t="shared" si="4"/>
        <v>33226.5</v>
      </c>
      <c r="AA70" s="3">
        <v>247</v>
      </c>
      <c r="AK70" s="3"/>
      <c r="AM70" s="4"/>
      <c r="AO70" s="4"/>
      <c r="BA70" s="2"/>
      <c r="BB70" s="2"/>
      <c r="BD70" s="4"/>
      <c r="BF70" s="4"/>
      <c r="BM70" s="2"/>
      <c r="BO70" s="4"/>
      <c r="BQ70" s="4"/>
      <c r="CI70" s="2"/>
      <c r="CJ70" s="2"/>
      <c r="CN70" s="2"/>
      <c r="CQ70" s="2"/>
      <c r="CV70" s="4"/>
      <c r="DB70" s="2"/>
      <c r="DC70" s="2"/>
      <c r="DE70" s="2"/>
      <c r="DF70" s="2"/>
      <c r="DW70" s="2"/>
      <c r="EF70" s="4"/>
      <c r="EH70" s="4"/>
      <c r="ER70" s="2"/>
      <c r="ES70" s="2"/>
      <c r="EX70" s="4"/>
      <c r="EZ70" s="4"/>
      <c r="FQ70" s="4"/>
      <c r="FS70" s="4"/>
      <c r="GD70" s="3"/>
      <c r="GE70" s="2"/>
      <c r="GJ70" s="4"/>
      <c r="GL70" s="4"/>
      <c r="GR70" s="2"/>
      <c r="GV70" s="2"/>
      <c r="GX70" s="3"/>
      <c r="HB70" s="3"/>
      <c r="HO70" s="3"/>
      <c r="HP70" s="2"/>
      <c r="HS70" s="4"/>
      <c r="HU70" s="4"/>
      <c r="IF70" s="3"/>
      <c r="II70" s="4"/>
      <c r="IK70" s="4"/>
      <c r="IS70" s="2"/>
      <c r="IT70" s="2"/>
      <c r="IV70" s="2"/>
      <c r="IW70" s="4"/>
      <c r="IY70" s="4"/>
      <c r="JH70" s="2"/>
      <c r="JK70" s="4"/>
      <c r="JM70" s="4"/>
      <c r="JZ70" s="2"/>
      <c r="KD70" s="4"/>
      <c r="KF70" s="4"/>
      <c r="KJ70" s="4"/>
      <c r="KT70" s="2"/>
      <c r="KU70" s="2"/>
      <c r="KW70" s="2"/>
      <c r="LC70" s="2"/>
      <c r="LF70" s="2"/>
      <c r="LT70" s="4"/>
      <c r="LV70" s="4"/>
      <c r="NB70" s="2"/>
      <c r="NC70" s="2"/>
      <c r="NJ70" s="2"/>
      <c r="NN70" s="2"/>
      <c r="NO70" s="2"/>
      <c r="NT70" s="4"/>
      <c r="NV70" s="4"/>
      <c r="OA70" s="2"/>
      <c r="OB70" s="2"/>
      <c r="ON70" s="2"/>
      <c r="OR70" s="4"/>
      <c r="OT70" s="4"/>
      <c r="PD70" s="2"/>
      <c r="PH70" s="2"/>
      <c r="PQ70" s="2"/>
      <c r="PZ70" s="2"/>
      <c r="QF70" s="4"/>
      <c r="QH70" s="4"/>
      <c r="QZ70" s="2"/>
      <c r="RA70" s="2"/>
      <c r="RN70" s="4"/>
      <c r="RO70" s="4"/>
      <c r="RR70" s="2"/>
      <c r="RT70" s="2"/>
      <c r="RU70" s="2"/>
      <c r="SA70" s="4"/>
      <c r="SC70" s="4"/>
      <c r="SQ70" s="4"/>
      <c r="TH70" s="2"/>
      <c r="TN70" s="3"/>
      <c r="TU70" s="4"/>
      <c r="TW70" s="4"/>
    </row>
    <row r="71" spans="1:543">
      <c r="A71">
        <v>7716</v>
      </c>
      <c r="B71">
        <v>405</v>
      </c>
      <c r="C71">
        <v>9126762062</v>
      </c>
      <c r="D71" t="s">
        <v>79</v>
      </c>
      <c r="E71" t="s">
        <v>387</v>
      </c>
      <c r="F71" t="s">
        <v>388</v>
      </c>
      <c r="G71" s="2">
        <v>34735</v>
      </c>
      <c r="H71" t="s">
        <v>43</v>
      </c>
      <c r="I71" t="s">
        <v>236</v>
      </c>
      <c r="J71" t="s">
        <v>32</v>
      </c>
      <c r="K71" t="s">
        <v>389</v>
      </c>
      <c r="L71" t="s">
        <v>77</v>
      </c>
      <c r="M71" s="2"/>
      <c r="N71" t="s">
        <v>390</v>
      </c>
      <c r="O71" s="2">
        <f>DATE(YEAR(G71) + P71, MONTH(G71), DAY(G71))</f>
        <v>58111</v>
      </c>
      <c r="P71">
        <v>64</v>
      </c>
      <c r="Q71" s="2"/>
      <c r="R71" t="s">
        <v>47</v>
      </c>
      <c r="S71" t="s">
        <v>48</v>
      </c>
      <c r="T71" s="2">
        <v>39039</v>
      </c>
      <c r="U71" t="s">
        <v>49</v>
      </c>
      <c r="V71" t="s">
        <v>66</v>
      </c>
      <c r="W71">
        <v>13</v>
      </c>
      <c r="X71" s="1">
        <v>70632</v>
      </c>
      <c r="Y71" s="1">
        <f t="shared" si="5"/>
        <v>17658</v>
      </c>
      <c r="Z71" s="1">
        <f t="shared" si="4"/>
        <v>52974</v>
      </c>
      <c r="AA71" s="3">
        <v>129</v>
      </c>
      <c r="AB71" s="3"/>
      <c r="AK71" s="3"/>
      <c r="AO71" s="4"/>
      <c r="BA71" s="2"/>
      <c r="BB71" s="2"/>
      <c r="BD71" s="4"/>
      <c r="BF71" s="4"/>
      <c r="BM71" s="2"/>
      <c r="BO71" s="4"/>
      <c r="BQ71" s="4"/>
      <c r="CI71" s="2"/>
      <c r="CJ71" s="2"/>
      <c r="CN71" s="2"/>
      <c r="CQ71" s="2"/>
      <c r="CV71" s="4"/>
      <c r="CX71" s="4"/>
      <c r="DB71" s="2"/>
      <c r="DC71" s="2"/>
      <c r="DE71" s="2"/>
      <c r="DF71" s="2"/>
      <c r="DV71" s="2"/>
      <c r="DW71" s="2"/>
      <c r="EF71" s="4"/>
      <c r="EH71" s="4"/>
      <c r="ER71" s="2"/>
      <c r="ES71" s="2"/>
      <c r="FQ71" s="4"/>
      <c r="FS71" s="4"/>
      <c r="GJ71" s="4"/>
      <c r="GL71" s="4"/>
      <c r="GR71" s="2"/>
      <c r="GT71" s="3"/>
      <c r="GU71" s="3"/>
      <c r="GV71" s="2"/>
      <c r="HB71" s="3"/>
      <c r="HP71" s="2"/>
      <c r="HS71" s="4"/>
      <c r="HU71" s="4"/>
      <c r="II71" s="4"/>
      <c r="IK71" s="4"/>
      <c r="IS71" s="2"/>
      <c r="IT71" s="2"/>
      <c r="IV71" s="2"/>
      <c r="IW71" s="4"/>
      <c r="IY71" s="4"/>
      <c r="JH71" s="2"/>
      <c r="JK71" s="4"/>
      <c r="JM71" s="4"/>
      <c r="JZ71" s="2"/>
      <c r="KA71" s="3"/>
      <c r="KD71" s="4"/>
      <c r="KF71" s="4"/>
      <c r="KJ71" s="4"/>
      <c r="KT71" s="2"/>
      <c r="KU71" s="2"/>
      <c r="KW71" s="2"/>
      <c r="LC71" s="2"/>
      <c r="LF71" s="2"/>
      <c r="LK71" s="2"/>
      <c r="LT71" s="4"/>
      <c r="LV71" s="4"/>
      <c r="MC71" s="3"/>
      <c r="NB71" s="2"/>
      <c r="NC71" s="2"/>
      <c r="NJ71" s="2"/>
      <c r="NN71" s="2"/>
      <c r="NO71" s="2"/>
      <c r="NT71" s="4"/>
      <c r="NV71" s="4"/>
      <c r="OA71" s="2"/>
      <c r="OB71" s="2"/>
      <c r="ON71" s="2"/>
      <c r="OR71" s="4"/>
      <c r="OT71" s="4"/>
      <c r="PH71" s="2"/>
      <c r="PQ71" s="2"/>
      <c r="PX71" s="2"/>
      <c r="PZ71" s="2"/>
      <c r="QF71" s="4"/>
      <c r="QH71" s="4"/>
      <c r="QJ71" s="3"/>
      <c r="QZ71" s="2"/>
      <c r="RA71" s="2"/>
      <c r="RO71" s="4"/>
      <c r="RR71" s="2"/>
      <c r="RT71" s="2"/>
      <c r="RU71" s="2"/>
      <c r="SA71" s="4"/>
      <c r="SC71" s="4"/>
      <c r="SN71" s="2"/>
      <c r="SS71" s="4"/>
      <c r="TG71" s="2"/>
      <c r="TH71" s="2"/>
      <c r="TI71" s="2"/>
      <c r="TU71" s="4"/>
      <c r="TW71" s="4"/>
    </row>
    <row r="72" spans="1:543">
      <c r="A72">
        <v>9492</v>
      </c>
      <c r="B72">
        <v>9212</v>
      </c>
      <c r="C72">
        <v>8790497966</v>
      </c>
      <c r="D72" t="s">
        <v>228</v>
      </c>
      <c r="E72" t="s">
        <v>391</v>
      </c>
      <c r="F72" t="s">
        <v>392</v>
      </c>
      <c r="G72" s="2">
        <v>40454</v>
      </c>
      <c r="H72" t="s">
        <v>30</v>
      </c>
      <c r="I72" t="s">
        <v>169</v>
      </c>
      <c r="J72" t="s">
        <v>32</v>
      </c>
      <c r="K72" t="s">
        <v>393</v>
      </c>
      <c r="L72" t="s">
        <v>95</v>
      </c>
      <c r="M72" s="2"/>
      <c r="N72" t="s">
        <v>394</v>
      </c>
      <c r="O72" s="2">
        <f>DATE(YEAR(G72) + P72, MONTH(G72), DAY(G72))</f>
        <v>62734</v>
      </c>
      <c r="P72">
        <v>61</v>
      </c>
      <c r="Q72" s="2">
        <v>43051</v>
      </c>
      <c r="R72" t="s">
        <v>36</v>
      </c>
      <c r="S72" t="s">
        <v>181</v>
      </c>
      <c r="T72" t="s">
        <v>395</v>
      </c>
      <c r="U72" t="s">
        <v>65</v>
      </c>
      <c r="V72" t="s">
        <v>66</v>
      </c>
      <c r="W72">
        <v>13</v>
      </c>
      <c r="X72" s="1">
        <v>5738</v>
      </c>
      <c r="Y72" s="1">
        <f t="shared" si="5"/>
        <v>1434.5</v>
      </c>
      <c r="Z72" s="1">
        <f t="shared" si="4"/>
        <v>4303.5</v>
      </c>
      <c r="AA72" s="3">
        <v>65</v>
      </c>
      <c r="AJ72" s="3"/>
      <c r="AK72" s="3"/>
      <c r="AM72" s="4"/>
      <c r="AO72" s="4"/>
      <c r="BA72" s="2"/>
      <c r="BD72" s="4"/>
      <c r="BF72" s="4"/>
      <c r="BM72" s="2"/>
      <c r="BO72" s="4"/>
      <c r="BQ72" s="4"/>
      <c r="CJ72" s="2"/>
      <c r="CN72" s="2"/>
      <c r="CQ72" s="2"/>
      <c r="CV72" s="4"/>
      <c r="DB72" s="2"/>
      <c r="DC72" s="2"/>
      <c r="DE72" s="2"/>
      <c r="DF72" s="2"/>
      <c r="DV72" s="2"/>
      <c r="DW72" s="2"/>
      <c r="EF72" s="4"/>
      <c r="EH72" s="4"/>
      <c r="ER72" s="2"/>
      <c r="ES72" s="2"/>
      <c r="EX72" s="4"/>
      <c r="EZ72" s="4"/>
      <c r="FQ72" s="4"/>
      <c r="FS72" s="4"/>
      <c r="GE72" s="2"/>
      <c r="GJ72" s="4"/>
      <c r="GL72" s="4"/>
      <c r="GR72" s="2"/>
      <c r="GV72" s="2"/>
      <c r="GX72" s="3"/>
      <c r="GY72" s="3"/>
      <c r="HB72" s="3"/>
      <c r="HP72" s="2"/>
      <c r="HS72" s="4"/>
      <c r="HU72" s="4"/>
      <c r="II72" s="4"/>
      <c r="IK72" s="4"/>
      <c r="IS72" s="2"/>
      <c r="IT72" s="2"/>
      <c r="IV72" s="2"/>
      <c r="IW72" s="4"/>
      <c r="IY72" s="4"/>
      <c r="JH72" s="2"/>
      <c r="JK72" s="4"/>
      <c r="JM72" s="4"/>
      <c r="JZ72" s="2"/>
      <c r="KA72" s="3"/>
      <c r="KD72" s="4"/>
      <c r="KF72" s="4"/>
      <c r="KJ72" s="4"/>
      <c r="KT72" s="2"/>
      <c r="KU72" s="2"/>
      <c r="KW72" s="2"/>
      <c r="LC72" s="2"/>
      <c r="LF72" s="2"/>
      <c r="LK72" s="2"/>
      <c r="LT72" s="4"/>
      <c r="LV72" s="4"/>
      <c r="LZ72" s="3"/>
      <c r="NB72" s="2"/>
      <c r="NC72" s="2"/>
      <c r="NJ72" s="2"/>
      <c r="NO72" s="2"/>
      <c r="NQ72" s="3"/>
      <c r="NT72" s="4"/>
      <c r="OA72" s="2"/>
      <c r="OB72" s="2"/>
      <c r="ON72" s="2"/>
      <c r="OR72" s="4"/>
      <c r="OT72" s="4"/>
      <c r="PD72" s="2"/>
      <c r="PH72" s="2"/>
      <c r="PN72" s="3"/>
      <c r="PQ72" s="2"/>
      <c r="PX72" s="2"/>
      <c r="PZ72" s="2"/>
      <c r="QF72" s="4"/>
      <c r="QH72" s="4"/>
      <c r="QZ72" s="2"/>
      <c r="RA72" s="2"/>
      <c r="RN72" s="4"/>
      <c r="RO72" s="4"/>
      <c r="RR72" s="2"/>
      <c r="RU72" s="2"/>
      <c r="SA72" s="4"/>
      <c r="SC72" s="4"/>
      <c r="SN72" s="2"/>
      <c r="SQ72" s="4"/>
      <c r="SS72" s="4"/>
      <c r="TG72" s="2"/>
      <c r="TH72" s="2"/>
      <c r="TI72" s="2"/>
      <c r="TU72" s="4"/>
      <c r="TW72" s="4"/>
    </row>
    <row r="73" spans="1:543">
      <c r="A73">
        <v>6576</v>
      </c>
      <c r="B73">
        <v>9080</v>
      </c>
      <c r="C73">
        <v>9538597666</v>
      </c>
      <c r="D73" t="s">
        <v>40</v>
      </c>
      <c r="E73" t="s">
        <v>396</v>
      </c>
      <c r="F73" t="s">
        <v>397</v>
      </c>
      <c r="G73" s="2">
        <v>33951</v>
      </c>
      <c r="H73" t="s">
        <v>43</v>
      </c>
      <c r="I73" t="s">
        <v>260</v>
      </c>
      <c r="J73" t="s">
        <v>32</v>
      </c>
      <c r="K73" t="s">
        <v>398</v>
      </c>
      <c r="L73" t="s">
        <v>34</v>
      </c>
      <c r="M73" s="2"/>
      <c r="N73" t="s">
        <v>399</v>
      </c>
      <c r="O73" s="2">
        <f>DATE(YEAR(G73) + P73, MONTH(G73), DAY(G73))</f>
        <v>58422</v>
      </c>
      <c r="P73">
        <v>67</v>
      </c>
      <c r="Q73" s="2">
        <v>45965</v>
      </c>
      <c r="R73" t="s">
        <v>36</v>
      </c>
      <c r="S73" t="s">
        <v>109</v>
      </c>
      <c r="T73" s="2">
        <v>38352</v>
      </c>
      <c r="U73" t="s">
        <v>65</v>
      </c>
      <c r="V73" t="s">
        <v>66</v>
      </c>
      <c r="W73">
        <v>5</v>
      </c>
      <c r="X73" s="1">
        <v>75427</v>
      </c>
      <c r="Y73" s="1">
        <f t="shared" si="5"/>
        <v>18856.75</v>
      </c>
      <c r="Z73" s="1">
        <f t="shared" si="4"/>
        <v>56570.25</v>
      </c>
      <c r="AA73" s="3">
        <v>469</v>
      </c>
      <c r="AK73" s="3"/>
      <c r="AM73" s="4"/>
      <c r="AO73" s="4"/>
      <c r="BA73" s="2"/>
      <c r="BB73" s="2"/>
      <c r="BD73" s="4"/>
      <c r="BF73" s="4"/>
      <c r="BM73" s="2"/>
      <c r="BO73" s="4"/>
      <c r="BQ73" s="4"/>
      <c r="CF73" s="3"/>
      <c r="CI73" s="2"/>
      <c r="CJ73" s="2"/>
      <c r="CN73" s="2"/>
      <c r="CQ73" s="2"/>
      <c r="CV73" s="4"/>
      <c r="CX73" s="4"/>
      <c r="DB73" s="2"/>
      <c r="DC73" s="2"/>
      <c r="DE73" s="2"/>
      <c r="DF73" s="2"/>
      <c r="DV73" s="2"/>
      <c r="DW73" s="2"/>
      <c r="EH73" s="4"/>
      <c r="ER73" s="2"/>
      <c r="EX73" s="4"/>
      <c r="EZ73" s="4"/>
      <c r="FS73" s="4"/>
      <c r="GE73" s="2"/>
      <c r="GJ73" s="4"/>
      <c r="GL73" s="4"/>
      <c r="GR73" s="2"/>
      <c r="GS73" s="3"/>
      <c r="GT73" s="3"/>
      <c r="GV73" s="2"/>
      <c r="HB73" s="3"/>
      <c r="HP73" s="2"/>
      <c r="HQ73" s="3"/>
      <c r="HS73" s="4"/>
      <c r="HU73" s="4"/>
      <c r="IF73" s="3"/>
      <c r="II73" s="4"/>
      <c r="IS73" s="2"/>
      <c r="IT73" s="2"/>
      <c r="IV73" s="2"/>
      <c r="IW73" s="4"/>
      <c r="IY73" s="4"/>
      <c r="JH73" s="2"/>
      <c r="JK73" s="4"/>
      <c r="JM73" s="4"/>
      <c r="JZ73" s="2"/>
      <c r="KF73" s="4"/>
      <c r="KJ73" s="4"/>
      <c r="KT73" s="2"/>
      <c r="KU73" s="2"/>
      <c r="KW73" s="2"/>
      <c r="LC73" s="2"/>
      <c r="LF73" s="2"/>
      <c r="LK73" s="2"/>
      <c r="LT73" s="4"/>
      <c r="LV73" s="4"/>
      <c r="NB73" s="2"/>
      <c r="NC73" s="2"/>
      <c r="NJ73" s="2"/>
      <c r="NN73" s="2"/>
      <c r="NO73" s="2"/>
      <c r="NV73" s="4"/>
      <c r="OA73" s="2"/>
      <c r="OB73" s="2"/>
      <c r="ON73" s="2"/>
      <c r="OO73" s="3"/>
      <c r="OR73" s="4"/>
      <c r="OT73" s="4"/>
      <c r="PD73" s="2"/>
      <c r="PH73" s="2"/>
      <c r="PQ73" s="2"/>
      <c r="PX73" s="2"/>
      <c r="PZ73" s="2"/>
      <c r="QF73" s="4"/>
      <c r="QH73" s="4"/>
      <c r="RA73" s="2"/>
      <c r="RN73" s="4"/>
      <c r="RO73" s="4"/>
      <c r="RR73" s="2"/>
      <c r="RT73" s="2"/>
      <c r="RU73" s="2"/>
      <c r="SA73" s="4"/>
      <c r="SC73" s="4"/>
      <c r="SN73" s="2"/>
      <c r="SQ73" s="4"/>
      <c r="SS73" s="4"/>
      <c r="TG73" s="2"/>
      <c r="TU73" s="4"/>
      <c r="TW73" s="4"/>
    </row>
    <row r="74" spans="1:543">
      <c r="A74">
        <v>2566</v>
      </c>
      <c r="B74">
        <v>4163</v>
      </c>
      <c r="C74">
        <v>7642730558</v>
      </c>
      <c r="D74" t="s">
        <v>172</v>
      </c>
      <c r="E74" t="s">
        <v>400</v>
      </c>
      <c r="F74" t="s">
        <v>401</v>
      </c>
      <c r="G74" s="2">
        <v>40542</v>
      </c>
      <c r="H74" t="s">
        <v>43</v>
      </c>
      <c r="I74" t="s">
        <v>279</v>
      </c>
      <c r="J74" t="s">
        <v>32</v>
      </c>
      <c r="K74" t="s">
        <v>402</v>
      </c>
      <c r="L74" t="s">
        <v>77</v>
      </c>
      <c r="M74" s="2"/>
      <c r="N74" t="s">
        <v>403</v>
      </c>
      <c r="O74" s="2">
        <f>DATE(YEAR(G74) + P74, MONTH(G74), DAY(G74))</f>
        <v>64283</v>
      </c>
      <c r="P74">
        <v>65</v>
      </c>
      <c r="Q74" s="2"/>
      <c r="R74" t="s">
        <v>47</v>
      </c>
      <c r="S74" t="s">
        <v>64</v>
      </c>
      <c r="T74" s="2">
        <v>44043</v>
      </c>
      <c r="U74" t="s">
        <v>49</v>
      </c>
      <c r="V74" t="s">
        <v>56</v>
      </c>
      <c r="W74">
        <v>17</v>
      </c>
      <c r="X74" s="1">
        <v>74768</v>
      </c>
      <c r="Y74" s="1">
        <f t="shared" si="5"/>
        <v>18692</v>
      </c>
      <c r="Z74" s="1">
        <f t="shared" si="4"/>
        <v>56076</v>
      </c>
      <c r="AA74" s="3">
        <v>374</v>
      </c>
      <c r="AK74" s="3"/>
      <c r="AM74" s="4"/>
      <c r="AO74" s="4"/>
      <c r="BA74" s="2"/>
      <c r="BB74" s="2"/>
      <c r="BD74" s="4"/>
      <c r="BF74" s="4"/>
      <c r="BM74" s="2"/>
      <c r="BO74" s="4"/>
      <c r="BQ74" s="4"/>
      <c r="CH74" s="3"/>
      <c r="CI74" s="2"/>
      <c r="CJ74" s="2"/>
      <c r="CN74" s="2"/>
      <c r="CQ74" s="2"/>
      <c r="CV74" s="4"/>
      <c r="CX74" s="4"/>
      <c r="DB74" s="2"/>
      <c r="DC74" s="2"/>
      <c r="DE74" s="2"/>
      <c r="DF74" s="2"/>
      <c r="DV74" s="2"/>
      <c r="DW74" s="2"/>
      <c r="DX74" s="3"/>
      <c r="EC74" s="3"/>
      <c r="EH74" s="4"/>
      <c r="ER74" s="2"/>
      <c r="ES74" s="2"/>
      <c r="EX74" s="4"/>
      <c r="EZ74" s="4"/>
      <c r="FQ74" s="4"/>
      <c r="FS74" s="4"/>
      <c r="GE74" s="2"/>
      <c r="GJ74" s="4"/>
      <c r="GL74" s="4"/>
      <c r="GR74" s="2"/>
      <c r="GT74" s="3"/>
      <c r="GV74" s="2"/>
      <c r="GW74" s="3"/>
      <c r="GX74" s="3"/>
      <c r="HB74" s="3"/>
      <c r="HP74" s="2"/>
      <c r="HU74" s="4"/>
      <c r="II74" s="4"/>
      <c r="IK74" s="4"/>
      <c r="IS74" s="2"/>
      <c r="IT74" s="2"/>
      <c r="IV74" s="2"/>
      <c r="IY74" s="4"/>
      <c r="JH74" s="2"/>
      <c r="JK74" s="4"/>
      <c r="JZ74" s="2"/>
      <c r="KD74" s="4"/>
      <c r="KF74" s="4"/>
      <c r="KJ74" s="4"/>
      <c r="KT74" s="2"/>
      <c r="KU74" s="2"/>
      <c r="KW74" s="2"/>
      <c r="LC74" s="2"/>
      <c r="LF74" s="2"/>
      <c r="LK74" s="2"/>
      <c r="LT74" s="4"/>
      <c r="LV74" s="4"/>
      <c r="MC74" s="3"/>
      <c r="NB74" s="2"/>
      <c r="NC74" s="2"/>
      <c r="NJ74" s="2"/>
      <c r="NN74" s="2"/>
      <c r="NT74" s="4"/>
      <c r="NV74" s="4"/>
      <c r="OA74" s="2"/>
      <c r="OB74" s="2"/>
      <c r="OJ74" s="3"/>
      <c r="ON74" s="2"/>
      <c r="OR74" s="4"/>
      <c r="OT74" s="4"/>
      <c r="PQ74" s="2"/>
      <c r="PX74" s="2"/>
      <c r="PZ74" s="2"/>
      <c r="QF74" s="4"/>
      <c r="QH74" s="4"/>
      <c r="QZ74" s="2"/>
      <c r="RA74" s="2"/>
      <c r="RO74" s="4"/>
      <c r="RR74" s="2"/>
      <c r="RU74" s="2"/>
      <c r="SA74" s="4"/>
      <c r="SC74" s="4"/>
      <c r="SN74" s="2"/>
      <c r="SQ74" s="4"/>
      <c r="SS74" s="4"/>
      <c r="TG74" s="2"/>
      <c r="TH74" s="2"/>
      <c r="TI74" s="2"/>
      <c r="TU74" s="4"/>
      <c r="TW74" s="4"/>
    </row>
    <row r="75" spans="1:543">
      <c r="A75">
        <v>7484</v>
      </c>
      <c r="B75">
        <v>6119</v>
      </c>
      <c r="C75">
        <v>5817773662</v>
      </c>
      <c r="D75" t="s">
        <v>404</v>
      </c>
      <c r="E75" t="s">
        <v>405</v>
      </c>
      <c r="F75" t="s">
        <v>406</v>
      </c>
      <c r="G75" s="2">
        <v>36809</v>
      </c>
      <c r="H75" t="s">
        <v>43</v>
      </c>
      <c r="I75" t="s">
        <v>407</v>
      </c>
      <c r="J75" t="s">
        <v>61</v>
      </c>
      <c r="K75" t="s">
        <v>408</v>
      </c>
      <c r="L75" t="s">
        <v>34</v>
      </c>
      <c r="M75" s="2">
        <v>41365</v>
      </c>
      <c r="N75" t="s">
        <v>409</v>
      </c>
      <c r="O75" s="2">
        <f>DATE(YEAR(G75) + P75, MONTH(G75), DAY(G75))</f>
        <v>61646</v>
      </c>
      <c r="P75">
        <v>68</v>
      </c>
      <c r="Q75" s="2"/>
      <c r="R75" t="s">
        <v>47</v>
      </c>
      <c r="S75" t="s">
        <v>64</v>
      </c>
      <c r="T75" s="2">
        <v>42883</v>
      </c>
      <c r="U75" t="s">
        <v>103</v>
      </c>
      <c r="V75" t="s">
        <v>56</v>
      </c>
      <c r="W75">
        <v>23</v>
      </c>
      <c r="X75" s="1">
        <v>28039</v>
      </c>
      <c r="Y75" s="1">
        <f t="shared" si="5"/>
        <v>7009.75</v>
      </c>
      <c r="Z75" s="1">
        <f t="shared" si="4"/>
        <v>21029.25</v>
      </c>
      <c r="AA75" s="3">
        <v>388</v>
      </c>
      <c r="AK75" s="3"/>
      <c r="AM75" s="4"/>
      <c r="AO75" s="4"/>
      <c r="BA75" s="2"/>
      <c r="BB75" s="2"/>
      <c r="BD75" s="4"/>
      <c r="BF75" s="4"/>
      <c r="BM75" s="2"/>
      <c r="BO75" s="4"/>
      <c r="CI75" s="2"/>
      <c r="CJ75" s="2"/>
      <c r="CM75" s="3"/>
      <c r="CN75" s="2"/>
      <c r="CQ75" s="2"/>
      <c r="CV75" s="4"/>
      <c r="CX75" s="4"/>
      <c r="DB75" s="2"/>
      <c r="DC75" s="2"/>
      <c r="DE75" s="2"/>
      <c r="DF75" s="2"/>
      <c r="DV75" s="2"/>
      <c r="DW75" s="2"/>
      <c r="EF75" s="4"/>
      <c r="ER75" s="2"/>
      <c r="ES75" s="2"/>
      <c r="EX75" s="4"/>
      <c r="EZ75" s="4"/>
      <c r="FQ75" s="4"/>
      <c r="FS75" s="4"/>
      <c r="GE75" s="2"/>
      <c r="GJ75" s="4"/>
      <c r="GL75" s="4"/>
      <c r="GR75" s="2"/>
      <c r="GT75" s="3"/>
      <c r="GV75" s="2"/>
      <c r="GY75" s="3"/>
      <c r="HP75" s="2"/>
      <c r="HS75" s="4"/>
      <c r="HU75" s="4"/>
      <c r="II75" s="4"/>
      <c r="IK75" s="4"/>
      <c r="IT75" s="2"/>
      <c r="IV75" s="2"/>
      <c r="IW75" s="4"/>
      <c r="IY75" s="4"/>
      <c r="JH75" s="2"/>
      <c r="JK75" s="4"/>
      <c r="JM75" s="4"/>
      <c r="JZ75" s="2"/>
      <c r="KC75" s="3"/>
      <c r="KD75" s="4"/>
      <c r="KF75" s="4"/>
      <c r="KJ75" s="4"/>
      <c r="KT75" s="2"/>
      <c r="KU75" s="2"/>
      <c r="KW75" s="2"/>
      <c r="LC75" s="2"/>
      <c r="LF75" s="2"/>
      <c r="LK75" s="2"/>
      <c r="LV75" s="4"/>
      <c r="MF75" s="3"/>
      <c r="NB75" s="2"/>
      <c r="NG75" s="5"/>
      <c r="NJ75" s="2"/>
      <c r="NN75" s="2"/>
      <c r="NO75" s="2"/>
      <c r="NP75" s="3"/>
      <c r="NT75" s="4"/>
      <c r="NV75" s="4"/>
      <c r="OA75" s="2"/>
      <c r="OB75" s="2"/>
      <c r="OJ75" s="3"/>
      <c r="ON75" s="2"/>
      <c r="OR75" s="4"/>
      <c r="PD75" s="2"/>
      <c r="PH75" s="2"/>
      <c r="PN75" s="3"/>
      <c r="PQ75" s="2"/>
      <c r="PX75" s="2"/>
      <c r="PZ75" s="2"/>
      <c r="QF75" s="4"/>
      <c r="QH75" s="4"/>
      <c r="QZ75" s="2"/>
      <c r="RA75" s="2"/>
      <c r="RN75" s="4"/>
      <c r="RO75" s="4"/>
      <c r="RR75" s="2"/>
      <c r="RT75" s="2"/>
      <c r="RU75" s="2"/>
      <c r="SA75" s="4"/>
      <c r="SC75" s="4"/>
      <c r="SN75" s="2"/>
      <c r="SQ75" s="4"/>
      <c r="SS75" s="4"/>
      <c r="TG75" s="2"/>
      <c r="TH75" s="2"/>
      <c r="TI75" s="2"/>
      <c r="TU75" s="4"/>
      <c r="TW75" s="4"/>
    </row>
    <row r="76" spans="1:543">
      <c r="A76">
        <v>5234</v>
      </c>
      <c r="B76">
        <v>231</v>
      </c>
      <c r="C76">
        <v>3689405576</v>
      </c>
      <c r="D76" t="s">
        <v>156</v>
      </c>
      <c r="E76" t="s">
        <v>410</v>
      </c>
      <c r="F76" t="s">
        <v>411</v>
      </c>
      <c r="G76" s="2">
        <v>40481</v>
      </c>
      <c r="H76" t="s">
        <v>30</v>
      </c>
      <c r="I76" t="s">
        <v>31</v>
      </c>
      <c r="J76" t="s">
        <v>61</v>
      </c>
      <c r="K76" t="s">
        <v>412</v>
      </c>
      <c r="L76" t="s">
        <v>77</v>
      </c>
      <c r="M76" s="2">
        <v>25688</v>
      </c>
      <c r="N76" t="s">
        <v>413</v>
      </c>
      <c r="O76" s="2">
        <f>DATE(YEAR(G76) + P76, MONTH(G76), DAY(G76))</f>
        <v>64953</v>
      </c>
      <c r="P76">
        <v>67</v>
      </c>
      <c r="Q76" s="2"/>
      <c r="R76" t="s">
        <v>47</v>
      </c>
      <c r="S76" t="s">
        <v>102</v>
      </c>
      <c r="T76" t="s">
        <v>414</v>
      </c>
      <c r="U76" t="s">
        <v>49</v>
      </c>
      <c r="V76" t="s">
        <v>39</v>
      </c>
      <c r="W76">
        <v>20</v>
      </c>
      <c r="X76" s="1">
        <v>32572</v>
      </c>
      <c r="Y76" s="1">
        <f t="shared" si="5"/>
        <v>8143</v>
      </c>
      <c r="Z76" s="1">
        <f t="shared" si="4"/>
        <v>24429</v>
      </c>
      <c r="AA76" s="3">
        <v>585</v>
      </c>
      <c r="AK76" s="3"/>
      <c r="AM76" s="4"/>
      <c r="AO76" s="4"/>
      <c r="BA76" s="2"/>
      <c r="BB76" s="2"/>
      <c r="BD76" s="4"/>
      <c r="BF76" s="4"/>
      <c r="BM76" s="2"/>
      <c r="BO76" s="4"/>
      <c r="BQ76" s="4"/>
      <c r="CI76" s="2"/>
      <c r="CJ76" s="2"/>
      <c r="CN76" s="2"/>
      <c r="CQ76" s="2"/>
      <c r="CV76" s="4"/>
      <c r="CX76" s="4"/>
      <c r="DA76" s="3"/>
      <c r="DB76" s="2"/>
      <c r="DC76" s="2"/>
      <c r="DE76" s="2"/>
      <c r="DF76" s="2"/>
      <c r="DG76" s="3"/>
      <c r="DV76" s="2"/>
      <c r="DW76" s="2"/>
      <c r="EF76" s="4"/>
      <c r="EH76" s="4"/>
      <c r="ER76" s="2"/>
      <c r="ES76" s="2"/>
      <c r="EX76" s="4"/>
      <c r="EZ76" s="4"/>
      <c r="FQ76" s="4"/>
      <c r="FS76" s="4"/>
      <c r="GE76" s="2"/>
      <c r="GJ76" s="4"/>
      <c r="GL76" s="4"/>
      <c r="GR76" s="2"/>
      <c r="GX76" s="3"/>
      <c r="HB76" s="3"/>
      <c r="HS76" s="4"/>
      <c r="HU76" s="4"/>
      <c r="II76" s="4"/>
      <c r="IK76" s="4"/>
      <c r="IS76" s="2"/>
      <c r="IT76" s="2"/>
      <c r="IV76" s="2"/>
      <c r="IW76" s="4"/>
      <c r="IY76" s="4"/>
      <c r="JH76" s="2"/>
      <c r="JK76" s="4"/>
      <c r="JM76" s="4"/>
      <c r="JZ76" s="2"/>
      <c r="KC76" s="3"/>
      <c r="KD76" s="4"/>
      <c r="KF76" s="4"/>
      <c r="KJ76" s="4"/>
      <c r="KT76" s="2"/>
      <c r="KU76" s="2"/>
      <c r="KW76" s="2"/>
      <c r="LC76" s="2"/>
      <c r="LF76" s="2"/>
      <c r="LT76" s="4"/>
      <c r="LV76" s="4"/>
      <c r="MB76" s="3"/>
      <c r="MI76" s="3"/>
      <c r="NB76" s="2"/>
      <c r="NC76" s="2"/>
      <c r="NG76" s="5"/>
      <c r="NJ76" s="2"/>
      <c r="NN76" s="2"/>
      <c r="NO76" s="2"/>
      <c r="NT76" s="4"/>
      <c r="NV76" s="4"/>
      <c r="OA76" s="2"/>
      <c r="OR76" s="4"/>
      <c r="OT76" s="4"/>
      <c r="PD76" s="2"/>
      <c r="PH76" s="2"/>
      <c r="PQ76" s="2"/>
      <c r="PX76" s="2"/>
      <c r="PZ76" s="2"/>
      <c r="QF76" s="4"/>
      <c r="QH76" s="4"/>
      <c r="RA76" s="2"/>
      <c r="RM76" s="3"/>
      <c r="RO76" s="4"/>
      <c r="RR76" s="2"/>
      <c r="RT76" s="2"/>
      <c r="RU76" s="2"/>
      <c r="SA76" s="4"/>
      <c r="SC76" s="4"/>
      <c r="SN76" s="2"/>
      <c r="SQ76" s="4"/>
      <c r="TG76" s="2"/>
      <c r="TH76" s="2"/>
      <c r="TI76" s="2"/>
      <c r="TU76" s="4"/>
      <c r="TW76" s="4"/>
    </row>
    <row r="77" spans="1:543">
      <c r="A77">
        <v>8328</v>
      </c>
      <c r="B77">
        <v>2016</v>
      </c>
      <c r="C77">
        <v>4406646570</v>
      </c>
      <c r="D77" t="s">
        <v>415</v>
      </c>
      <c r="E77" t="s">
        <v>416</v>
      </c>
      <c r="F77" t="s">
        <v>417</v>
      </c>
      <c r="G77" s="2">
        <v>38595</v>
      </c>
      <c r="H77" t="s">
        <v>30</v>
      </c>
      <c r="I77" t="s">
        <v>137</v>
      </c>
      <c r="J77" t="s">
        <v>32</v>
      </c>
      <c r="K77" t="s">
        <v>418</v>
      </c>
      <c r="L77" t="s">
        <v>95</v>
      </c>
      <c r="M77" s="2"/>
      <c r="N77" t="s">
        <v>419</v>
      </c>
      <c r="O77" s="2">
        <f>DATE(YEAR(G77) + P77, MONTH(G77), DAY(G77))</f>
        <v>60875</v>
      </c>
      <c r="P77">
        <v>61</v>
      </c>
      <c r="Q77" s="2"/>
      <c r="R77" t="s">
        <v>47</v>
      </c>
      <c r="S77" t="s">
        <v>102</v>
      </c>
      <c r="T77" t="s">
        <v>420</v>
      </c>
      <c r="U77" t="s">
        <v>38</v>
      </c>
      <c r="V77" t="s">
        <v>39</v>
      </c>
      <c r="W77">
        <v>8</v>
      </c>
      <c r="X77" s="1">
        <v>56783</v>
      </c>
      <c r="Y77" s="1">
        <f t="shared" si="5"/>
        <v>14195.75</v>
      </c>
      <c r="Z77" s="1">
        <f t="shared" si="4"/>
        <v>42587.25</v>
      </c>
      <c r="AA77" s="3">
        <v>698</v>
      </c>
      <c r="AK77" s="3"/>
      <c r="AM77" s="4"/>
      <c r="AO77" s="4"/>
      <c r="BA77" s="2"/>
      <c r="BB77" s="2"/>
      <c r="BD77" s="4"/>
      <c r="BM77" s="2"/>
      <c r="BO77" s="4"/>
      <c r="BQ77" s="4"/>
      <c r="CJ77" s="2"/>
      <c r="CL77" s="3"/>
      <c r="CQ77" s="2"/>
      <c r="CV77" s="4"/>
      <c r="CX77" s="4"/>
      <c r="DA77" s="3"/>
      <c r="DC77" s="2"/>
      <c r="DE77" s="2"/>
      <c r="DF77" s="2"/>
      <c r="DV77" s="2"/>
      <c r="DW77" s="2"/>
      <c r="DX77" s="3"/>
      <c r="EF77" s="4"/>
      <c r="EH77" s="4"/>
      <c r="ER77" s="2"/>
      <c r="ES77" s="2"/>
      <c r="EX77" s="4"/>
      <c r="EZ77" s="4"/>
      <c r="FQ77" s="4"/>
      <c r="FS77" s="4"/>
      <c r="GE77" s="2"/>
      <c r="GJ77" s="4"/>
      <c r="GL77" s="4"/>
      <c r="GR77" s="2"/>
      <c r="GS77" s="3"/>
      <c r="GV77" s="2"/>
      <c r="GW77" s="3"/>
      <c r="GX77" s="3"/>
      <c r="HB77" s="3"/>
      <c r="HP77" s="2"/>
      <c r="HS77" s="4"/>
      <c r="HU77" s="4"/>
      <c r="II77" s="4"/>
      <c r="IK77" s="4"/>
      <c r="IS77" s="2"/>
      <c r="IT77" s="2"/>
      <c r="IV77" s="2"/>
      <c r="IW77" s="4"/>
      <c r="IY77" s="4"/>
      <c r="JK77" s="4"/>
      <c r="JM77" s="4"/>
      <c r="JZ77" s="2"/>
      <c r="KD77" s="4"/>
      <c r="KF77" s="4"/>
      <c r="KT77" s="2"/>
      <c r="KW77" s="2"/>
      <c r="LC77" s="2"/>
      <c r="LF77" s="2"/>
      <c r="LK77" s="2"/>
      <c r="LT77" s="4"/>
      <c r="LV77" s="4"/>
      <c r="NB77" s="2"/>
      <c r="NC77" s="2"/>
      <c r="NJ77" s="2"/>
      <c r="NN77" s="2"/>
      <c r="NO77" s="2"/>
      <c r="NT77" s="4"/>
      <c r="NV77" s="4"/>
      <c r="OA77" s="2"/>
      <c r="OB77" s="2"/>
      <c r="OK77" s="3"/>
      <c r="OR77" s="4"/>
      <c r="OT77" s="4"/>
      <c r="PD77" s="2"/>
      <c r="PH77" s="2"/>
      <c r="PQ77" s="2"/>
      <c r="PX77" s="2"/>
      <c r="QF77" s="4"/>
      <c r="QH77" s="4"/>
      <c r="QZ77" s="2"/>
      <c r="RN77" s="4"/>
      <c r="RO77" s="4"/>
      <c r="RR77" s="2"/>
      <c r="RT77" s="2"/>
      <c r="RU77" s="2"/>
      <c r="SA77" s="4"/>
      <c r="SC77" s="4"/>
      <c r="SN77" s="2"/>
      <c r="SQ77" s="4"/>
      <c r="SS77" s="4"/>
      <c r="TG77" s="2"/>
      <c r="TH77" s="2"/>
      <c r="TI77" s="2"/>
      <c r="TU77" s="4"/>
      <c r="TW77" s="4"/>
    </row>
    <row r="78" spans="1:543">
      <c r="A78">
        <v>5700</v>
      </c>
      <c r="B78">
        <v>7927</v>
      </c>
      <c r="C78">
        <v>5723147489</v>
      </c>
      <c r="D78" t="s">
        <v>421</v>
      </c>
      <c r="E78" t="s">
        <v>422</v>
      </c>
      <c r="F78" t="s">
        <v>423</v>
      </c>
      <c r="G78" s="2">
        <v>35369</v>
      </c>
      <c r="H78" t="s">
        <v>30</v>
      </c>
      <c r="I78" t="s">
        <v>260</v>
      </c>
      <c r="J78" t="s">
        <v>32</v>
      </c>
      <c r="K78" t="s">
        <v>424</v>
      </c>
      <c r="L78" t="s">
        <v>34</v>
      </c>
      <c r="M78" s="2"/>
      <c r="N78" t="s">
        <v>425</v>
      </c>
      <c r="O78" s="2">
        <f>DATE(YEAR(G78) + P78, MONTH(G78), DAY(G78))</f>
        <v>58014</v>
      </c>
      <c r="P78">
        <v>62</v>
      </c>
      <c r="Q78" s="2"/>
      <c r="R78" t="s">
        <v>47</v>
      </c>
      <c r="S78" t="s">
        <v>102</v>
      </c>
      <c r="T78" s="2">
        <v>37076</v>
      </c>
      <c r="U78" t="s">
        <v>49</v>
      </c>
      <c r="V78" t="s">
        <v>56</v>
      </c>
      <c r="W78">
        <v>22</v>
      </c>
      <c r="X78" s="1">
        <v>72885</v>
      </c>
      <c r="Y78" s="1">
        <f t="shared" si="5"/>
        <v>18221.25</v>
      </c>
      <c r="Z78" s="1">
        <f t="shared" si="4"/>
        <v>54663.75</v>
      </c>
      <c r="AA78" s="3">
        <v>88</v>
      </c>
      <c r="AK78" s="3"/>
      <c r="AO78" s="4"/>
      <c r="BA78" s="2"/>
      <c r="BB78" s="2"/>
      <c r="BD78" s="4"/>
      <c r="BF78" s="4"/>
      <c r="BM78" s="2"/>
      <c r="BO78" s="4"/>
      <c r="BQ78" s="4"/>
      <c r="CI78" s="2"/>
      <c r="CJ78" s="2"/>
      <c r="CN78" s="2"/>
      <c r="CP78" s="3"/>
      <c r="CQ78" s="2"/>
      <c r="CV78" s="4"/>
      <c r="CX78" s="4"/>
      <c r="CZ78" s="3"/>
      <c r="DB78" s="2"/>
      <c r="DC78" s="2"/>
      <c r="DE78" s="2"/>
      <c r="DF78" s="2"/>
      <c r="DV78" s="2"/>
      <c r="DW78" s="2"/>
      <c r="EF78" s="4"/>
      <c r="EH78" s="4"/>
      <c r="ER78" s="2"/>
      <c r="ES78" s="2"/>
      <c r="EX78" s="4"/>
      <c r="EZ78" s="4"/>
      <c r="FQ78" s="4"/>
      <c r="FS78" s="4"/>
      <c r="GE78" s="2"/>
      <c r="GJ78" s="4"/>
      <c r="GL78" s="4"/>
      <c r="GR78" s="2"/>
      <c r="GS78" s="3"/>
      <c r="GU78" s="3"/>
      <c r="GV78" s="2"/>
      <c r="GX78" s="3"/>
      <c r="HB78" s="3"/>
      <c r="HP78" s="2"/>
      <c r="HS78" s="4"/>
      <c r="HU78" s="4"/>
      <c r="II78" s="4"/>
      <c r="IK78" s="4"/>
      <c r="IS78" s="2"/>
      <c r="IT78" s="2"/>
      <c r="IV78" s="2"/>
      <c r="IW78" s="4"/>
      <c r="IY78" s="4"/>
      <c r="JH78" s="2"/>
      <c r="JK78" s="4"/>
      <c r="JM78" s="4"/>
      <c r="JZ78" s="2"/>
      <c r="KD78" s="4"/>
      <c r="KF78" s="4"/>
      <c r="KJ78" s="4"/>
      <c r="KT78" s="2"/>
      <c r="KU78" s="2"/>
      <c r="KW78" s="2"/>
      <c r="LC78" s="2"/>
      <c r="LF78" s="2"/>
      <c r="LK78" s="2"/>
      <c r="LT78" s="4"/>
      <c r="LV78" s="4"/>
      <c r="NB78" s="2"/>
      <c r="NC78" s="2"/>
      <c r="NH78" s="3"/>
      <c r="NJ78" s="2"/>
      <c r="NM78" s="3"/>
      <c r="NN78" s="2"/>
      <c r="NO78" s="2"/>
      <c r="NT78" s="4"/>
      <c r="NV78" s="4"/>
      <c r="OA78" s="2"/>
      <c r="OB78" s="2"/>
      <c r="ON78" s="2"/>
      <c r="OR78" s="4"/>
      <c r="OT78" s="4"/>
      <c r="PD78" s="2"/>
      <c r="PH78" s="2"/>
      <c r="PQ78" s="2"/>
      <c r="PX78" s="2"/>
      <c r="PZ78" s="2"/>
      <c r="QF78" s="4"/>
      <c r="QH78" s="4"/>
      <c r="QZ78" s="2"/>
      <c r="RA78" s="2"/>
      <c r="RN78" s="4"/>
      <c r="RO78" s="4"/>
      <c r="RT78" s="2"/>
      <c r="RU78" s="2"/>
      <c r="SA78" s="4"/>
      <c r="SC78" s="4"/>
      <c r="SN78" s="2"/>
      <c r="SQ78" s="4"/>
      <c r="SS78" s="4"/>
      <c r="TG78" s="2"/>
      <c r="TH78" s="2"/>
      <c r="TI78" s="2"/>
      <c r="TU78" s="4"/>
      <c r="TW78" s="4"/>
    </row>
    <row r="79" spans="1:543">
      <c r="A79">
        <v>7725</v>
      </c>
      <c r="B79">
        <v>7241</v>
      </c>
      <c r="C79">
        <v>3027073566</v>
      </c>
      <c r="D79" t="s">
        <v>426</v>
      </c>
      <c r="E79" t="s">
        <v>427</v>
      </c>
      <c r="F79" t="s">
        <v>428</v>
      </c>
      <c r="G79" s="2">
        <v>35185</v>
      </c>
      <c r="H79" t="s">
        <v>43</v>
      </c>
      <c r="I79" t="s">
        <v>143</v>
      </c>
      <c r="J79" t="s">
        <v>61</v>
      </c>
      <c r="K79" t="s">
        <v>429</v>
      </c>
      <c r="L79" t="s">
        <v>77</v>
      </c>
      <c r="M79" s="2">
        <v>38973</v>
      </c>
      <c r="N79" t="s">
        <v>430</v>
      </c>
      <c r="O79" s="2">
        <f>DATE(YEAR(G79) + P79, MONTH(G79), DAY(G79))</f>
        <v>60022</v>
      </c>
      <c r="P79">
        <v>68</v>
      </c>
      <c r="Q79" s="2"/>
      <c r="R79" t="s">
        <v>47</v>
      </c>
      <c r="S79" t="s">
        <v>37</v>
      </c>
      <c r="T79" s="2">
        <v>37318</v>
      </c>
      <c r="U79" t="s">
        <v>49</v>
      </c>
      <c r="V79" t="s">
        <v>66</v>
      </c>
      <c r="W79">
        <v>4</v>
      </c>
      <c r="X79" s="1">
        <v>57409</v>
      </c>
      <c r="Y79" s="1">
        <f t="shared" si="5"/>
        <v>14352.25</v>
      </c>
      <c r="Z79" s="1">
        <f t="shared" si="4"/>
        <v>43056.75</v>
      </c>
      <c r="AA79" s="3">
        <v>881</v>
      </c>
      <c r="AK79" s="3"/>
      <c r="AM79" s="4"/>
      <c r="AO79" s="4"/>
      <c r="BA79" s="2"/>
      <c r="BB79" s="2"/>
      <c r="BD79" s="4"/>
      <c r="BF79" s="4"/>
      <c r="BM79" s="2"/>
      <c r="BQ79" s="4"/>
      <c r="CH79" s="3"/>
      <c r="CI79" s="2"/>
      <c r="CJ79" s="2"/>
      <c r="CN79" s="2"/>
      <c r="CQ79" s="2"/>
      <c r="CV79" s="4"/>
      <c r="DB79" s="2"/>
      <c r="DC79" s="2"/>
      <c r="DE79" s="2"/>
      <c r="DF79" s="2"/>
      <c r="DV79" s="2"/>
      <c r="DW79" s="2"/>
      <c r="EF79" s="4"/>
      <c r="EH79" s="4"/>
      <c r="ER79" s="2"/>
      <c r="ES79" s="2"/>
      <c r="EU79" s="3"/>
      <c r="EX79" s="4"/>
      <c r="EZ79" s="4"/>
      <c r="FQ79" s="4"/>
      <c r="FS79" s="4"/>
      <c r="GE79" s="2"/>
      <c r="GJ79" s="4"/>
      <c r="GS79" s="3"/>
      <c r="GU79" s="3"/>
      <c r="GY79" s="3"/>
      <c r="HB79" s="3"/>
      <c r="HP79" s="2"/>
      <c r="HS79" s="4"/>
      <c r="HU79" s="4"/>
      <c r="II79" s="4"/>
      <c r="IK79" s="4"/>
      <c r="IS79" s="2"/>
      <c r="IT79" s="2"/>
      <c r="IV79" s="2"/>
      <c r="IW79" s="4"/>
      <c r="IY79" s="4"/>
      <c r="JH79" s="2"/>
      <c r="JK79" s="4"/>
      <c r="JZ79" s="2"/>
      <c r="KD79" s="4"/>
      <c r="KF79" s="4"/>
      <c r="KJ79" s="4"/>
      <c r="KT79" s="2"/>
      <c r="KU79" s="2"/>
      <c r="KW79" s="2"/>
      <c r="LC79" s="2"/>
      <c r="LF79" s="2"/>
      <c r="LK79" s="2"/>
      <c r="LT79" s="4"/>
      <c r="LV79" s="4"/>
      <c r="MA79" s="3"/>
      <c r="NB79" s="2"/>
      <c r="NC79" s="2"/>
      <c r="NJ79" s="2"/>
      <c r="NN79" s="2"/>
      <c r="NO79" s="2"/>
      <c r="NT79" s="4"/>
      <c r="NV79" s="4"/>
      <c r="OA79" s="2"/>
      <c r="ON79" s="2"/>
      <c r="OR79" s="4"/>
      <c r="OT79" s="4"/>
      <c r="PD79" s="2"/>
      <c r="PH79" s="2"/>
      <c r="PQ79" s="2"/>
      <c r="PX79" s="2"/>
      <c r="PY79" s="3"/>
      <c r="PZ79" s="2"/>
      <c r="QF79" s="4"/>
      <c r="QH79" s="4"/>
      <c r="QZ79" s="2"/>
      <c r="RA79" s="2"/>
      <c r="RN79" s="4"/>
      <c r="RO79" s="4"/>
      <c r="RR79" s="2"/>
      <c r="RT79" s="2"/>
      <c r="RU79" s="2"/>
      <c r="SA79" s="4"/>
      <c r="SC79" s="4"/>
      <c r="SN79" s="2"/>
      <c r="SQ79" s="4"/>
      <c r="SS79" s="4"/>
      <c r="TG79" s="2"/>
      <c r="TH79" s="2"/>
      <c r="TI79" s="2"/>
      <c r="TU79" s="4"/>
      <c r="TW79" s="4"/>
    </row>
    <row r="80" spans="1:543">
      <c r="A80">
        <v>2598</v>
      </c>
      <c r="B80">
        <v>4494</v>
      </c>
      <c r="C80">
        <v>1951435961</v>
      </c>
      <c r="D80" t="s">
        <v>121</v>
      </c>
      <c r="E80" t="s">
        <v>431</v>
      </c>
      <c r="F80" t="s">
        <v>432</v>
      </c>
      <c r="G80" s="2">
        <v>33603</v>
      </c>
      <c r="H80" t="s">
        <v>30</v>
      </c>
      <c r="I80" t="s">
        <v>130</v>
      </c>
      <c r="J80" t="s">
        <v>32</v>
      </c>
      <c r="K80" t="s">
        <v>433</v>
      </c>
      <c r="L80" t="s">
        <v>95</v>
      </c>
      <c r="M80" s="2"/>
      <c r="N80" t="s">
        <v>434</v>
      </c>
      <c r="O80" s="2">
        <f>DATE(YEAR(G80) + P80, MONTH(G80), DAY(G80))</f>
        <v>57710</v>
      </c>
      <c r="P80">
        <v>66</v>
      </c>
      <c r="Q80" s="2">
        <v>45596</v>
      </c>
      <c r="R80" t="s">
        <v>36</v>
      </c>
      <c r="S80" t="s">
        <v>48</v>
      </c>
      <c r="T80" s="2">
        <v>45626</v>
      </c>
      <c r="U80" t="s">
        <v>65</v>
      </c>
      <c r="V80" t="s">
        <v>66</v>
      </c>
      <c r="W80">
        <v>18</v>
      </c>
      <c r="X80" s="1">
        <v>59792</v>
      </c>
      <c r="Y80" s="1">
        <f t="shared" si="5"/>
        <v>14948</v>
      </c>
      <c r="Z80" s="1">
        <f t="shared" si="4"/>
        <v>44844</v>
      </c>
      <c r="AA80" s="3">
        <v>738</v>
      </c>
      <c r="AK80" s="3"/>
      <c r="AM80" s="4"/>
      <c r="AO80" s="4"/>
      <c r="BA80" s="2"/>
      <c r="BB80" s="2"/>
      <c r="BD80" s="4"/>
      <c r="BF80" s="4"/>
      <c r="BM80" s="2"/>
      <c r="BO80" s="4"/>
      <c r="BQ80" s="4"/>
      <c r="CF80" s="3"/>
      <c r="CI80" s="2"/>
      <c r="CJ80" s="2"/>
      <c r="CN80" s="2"/>
      <c r="CQ80" s="2"/>
      <c r="CV80" s="4"/>
      <c r="CX80" s="4"/>
      <c r="DB80" s="2"/>
      <c r="DC80" s="2"/>
      <c r="DE80" s="2"/>
      <c r="DF80" s="2"/>
      <c r="DV80" s="2"/>
      <c r="DW80" s="2"/>
      <c r="EF80" s="4"/>
      <c r="EH80" s="4"/>
      <c r="ER80" s="2"/>
      <c r="ES80" s="2"/>
      <c r="EX80" s="4"/>
      <c r="EZ80" s="4"/>
      <c r="FQ80" s="4"/>
      <c r="FS80" s="4"/>
      <c r="GE80" s="2"/>
      <c r="GG80" s="3"/>
      <c r="GJ80" s="4"/>
      <c r="GL80" s="4"/>
      <c r="GR80" s="2"/>
      <c r="GT80" s="3"/>
      <c r="GU80" s="3"/>
      <c r="HB80" s="3"/>
      <c r="HP80" s="2"/>
      <c r="HS80" s="4"/>
      <c r="HU80" s="4"/>
      <c r="II80" s="4"/>
      <c r="IK80" s="4"/>
      <c r="IS80" s="2"/>
      <c r="IT80" s="2"/>
      <c r="IV80" s="2"/>
      <c r="IW80" s="4"/>
      <c r="IY80" s="4"/>
      <c r="JH80" s="2"/>
      <c r="JK80" s="4"/>
      <c r="JM80" s="4"/>
      <c r="JZ80" s="2"/>
      <c r="KD80" s="4"/>
      <c r="KF80" s="4"/>
      <c r="KJ80" s="4"/>
      <c r="KT80" s="2"/>
      <c r="KU80" s="2"/>
      <c r="KW80" s="2"/>
      <c r="LC80" s="2"/>
      <c r="LF80" s="2"/>
      <c r="LK80" s="2"/>
      <c r="LT80" s="4"/>
      <c r="LV80" s="4"/>
      <c r="ML80" s="3"/>
      <c r="NB80" s="2"/>
      <c r="NC80" s="2"/>
      <c r="NG80" s="5"/>
      <c r="NJ80" s="2"/>
      <c r="NN80" s="2"/>
      <c r="NO80" s="2"/>
      <c r="NT80" s="4"/>
      <c r="NV80" s="4"/>
      <c r="OA80" s="2"/>
      <c r="OB80" s="2"/>
      <c r="OK80" s="3"/>
      <c r="ON80" s="2"/>
      <c r="OO80" s="3"/>
      <c r="OR80" s="4"/>
      <c r="OT80" s="4"/>
      <c r="PD80" s="2"/>
      <c r="PH80" s="2"/>
      <c r="PN80" s="3"/>
      <c r="PQ80" s="2"/>
      <c r="PX80" s="2"/>
      <c r="PZ80" s="2"/>
      <c r="QF80" s="4"/>
      <c r="QH80" s="4"/>
      <c r="QZ80" s="2"/>
      <c r="RA80" s="2"/>
      <c r="RM80" s="3"/>
      <c r="RN80" s="4"/>
      <c r="RO80" s="4"/>
      <c r="RR80" s="2"/>
      <c r="RT80" s="2"/>
      <c r="RU80" s="2"/>
      <c r="SA80" s="4"/>
      <c r="SC80" s="4"/>
      <c r="SN80" s="2"/>
      <c r="SQ80" s="4"/>
      <c r="SS80" s="4"/>
      <c r="TG80" s="2"/>
      <c r="TH80" s="2"/>
      <c r="TI80" s="2"/>
      <c r="TU80" s="4"/>
      <c r="TW80" s="4"/>
    </row>
    <row r="81" spans="1:543">
      <c r="A81">
        <v>7021</v>
      </c>
      <c r="B81">
        <v>8447</v>
      </c>
      <c r="C81">
        <v>7802657459</v>
      </c>
      <c r="D81" t="s">
        <v>435</v>
      </c>
      <c r="E81" t="s">
        <v>436</v>
      </c>
      <c r="F81" t="s">
        <v>437</v>
      </c>
      <c r="G81" s="2">
        <v>40244</v>
      </c>
      <c r="H81" t="s">
        <v>43</v>
      </c>
      <c r="I81" t="s">
        <v>331</v>
      </c>
      <c r="J81" t="s">
        <v>32</v>
      </c>
      <c r="K81" t="s">
        <v>438</v>
      </c>
      <c r="L81" t="s">
        <v>95</v>
      </c>
      <c r="M81" s="2"/>
      <c r="N81" t="s">
        <v>439</v>
      </c>
      <c r="O81" s="2">
        <f>DATE(YEAR(G81) + P81, MONTH(G81), DAY(G81))</f>
        <v>64716</v>
      </c>
      <c r="P81">
        <v>67</v>
      </c>
      <c r="Q81" s="2"/>
      <c r="R81" t="s">
        <v>47</v>
      </c>
      <c r="S81" t="s">
        <v>48</v>
      </c>
      <c r="T81" s="2">
        <v>43290</v>
      </c>
      <c r="U81" t="s">
        <v>103</v>
      </c>
      <c r="V81" t="s">
        <v>39</v>
      </c>
      <c r="W81">
        <v>9</v>
      </c>
      <c r="X81" s="1">
        <v>25987</v>
      </c>
      <c r="Y81" s="1">
        <f t="shared" si="5"/>
        <v>6496.75</v>
      </c>
      <c r="Z81" s="1">
        <f t="shared" si="4"/>
        <v>19490.25</v>
      </c>
      <c r="AA81" s="3">
        <v>870</v>
      </c>
      <c r="AK81" s="3"/>
      <c r="AM81" s="4"/>
      <c r="AO81" s="4"/>
      <c r="BA81" s="2"/>
      <c r="BB81" s="2"/>
      <c r="BD81" s="4"/>
      <c r="BF81" s="4"/>
      <c r="BM81" s="2"/>
      <c r="BO81" s="4"/>
      <c r="BQ81" s="4"/>
      <c r="CI81" s="2"/>
      <c r="CJ81" s="2"/>
      <c r="CQ81" s="2"/>
      <c r="CV81" s="4"/>
      <c r="CX81" s="4"/>
      <c r="CZ81" s="3"/>
      <c r="DB81" s="2"/>
      <c r="DC81" s="2"/>
      <c r="DD81" s="3"/>
      <c r="DE81" s="2"/>
      <c r="DF81" s="2"/>
      <c r="DV81" s="2"/>
      <c r="DW81" s="2"/>
      <c r="EF81" s="4"/>
      <c r="EH81" s="4"/>
      <c r="ER81" s="2"/>
      <c r="EX81" s="4"/>
      <c r="EZ81" s="4"/>
      <c r="FQ81" s="4"/>
      <c r="FS81" s="4"/>
      <c r="GE81" s="2"/>
      <c r="GJ81" s="4"/>
      <c r="GL81" s="4"/>
      <c r="GR81" s="2"/>
      <c r="GV81" s="2"/>
      <c r="GW81" s="3"/>
      <c r="HB81" s="3"/>
      <c r="HP81" s="2"/>
      <c r="HS81" s="4"/>
      <c r="HU81" s="4"/>
      <c r="IF81" s="3"/>
      <c r="IK81" s="4"/>
      <c r="IS81" s="2"/>
      <c r="IT81" s="2"/>
      <c r="IV81" s="2"/>
      <c r="IW81" s="4"/>
      <c r="IY81" s="4"/>
      <c r="JH81" s="2"/>
      <c r="JK81" s="4"/>
      <c r="JM81" s="4"/>
      <c r="KD81" s="4"/>
      <c r="KF81" s="4"/>
      <c r="KI81" s="3"/>
      <c r="KJ81" s="4"/>
      <c r="KT81" s="2"/>
      <c r="KU81" s="2"/>
      <c r="KW81" s="2"/>
      <c r="LC81" s="2"/>
      <c r="LF81" s="2"/>
      <c r="LK81" s="2"/>
      <c r="LT81" s="4"/>
      <c r="LV81" s="4"/>
      <c r="MN81" s="5"/>
      <c r="NB81" s="2"/>
      <c r="NC81" s="2"/>
      <c r="NJ81" s="2"/>
      <c r="NN81" s="2"/>
      <c r="NO81" s="2"/>
      <c r="NQ81" s="3"/>
      <c r="NT81" s="4"/>
      <c r="NV81" s="4"/>
      <c r="OA81" s="2"/>
      <c r="OB81" s="2"/>
      <c r="ON81" s="2"/>
      <c r="OR81" s="4"/>
      <c r="OT81" s="4"/>
      <c r="PD81" s="2"/>
      <c r="PH81" s="2"/>
      <c r="PN81" s="3"/>
      <c r="PQ81" s="2"/>
      <c r="PX81" s="2"/>
      <c r="PZ81" s="2"/>
      <c r="QF81" s="4"/>
      <c r="QH81" s="4"/>
      <c r="QZ81" s="2"/>
      <c r="RA81" s="2"/>
      <c r="RN81" s="4"/>
      <c r="RO81" s="4"/>
      <c r="RR81" s="2"/>
      <c r="RT81" s="2"/>
      <c r="RU81" s="2"/>
      <c r="SA81" s="4"/>
      <c r="SC81" s="4"/>
      <c r="SN81" s="2"/>
      <c r="SQ81" s="4"/>
      <c r="SS81" s="4"/>
      <c r="TG81" s="2"/>
      <c r="TH81" s="2"/>
      <c r="TI81" s="2"/>
      <c r="TU81" s="4"/>
      <c r="TW81" s="4"/>
    </row>
    <row r="82" spans="1:543">
      <c r="A82">
        <v>2307</v>
      </c>
      <c r="B82">
        <v>1479</v>
      </c>
      <c r="C82">
        <v>7736071051</v>
      </c>
      <c r="D82" t="s">
        <v>440</v>
      </c>
      <c r="E82" t="s">
        <v>441</v>
      </c>
      <c r="F82" t="s">
        <v>442</v>
      </c>
      <c r="G82" s="2">
        <v>39983</v>
      </c>
      <c r="H82" t="s">
        <v>43</v>
      </c>
      <c r="I82" t="s">
        <v>31</v>
      </c>
      <c r="J82" t="s">
        <v>32</v>
      </c>
      <c r="K82" t="s">
        <v>443</v>
      </c>
      <c r="L82" t="s">
        <v>34</v>
      </c>
      <c r="M82" s="2"/>
      <c r="N82" t="s">
        <v>444</v>
      </c>
      <c r="O82" s="2">
        <f>DATE(YEAR(G82) + P82, MONTH(G82), DAY(G82))</f>
        <v>64820</v>
      </c>
      <c r="P82">
        <v>68</v>
      </c>
      <c r="Q82" s="2"/>
      <c r="R82" t="s">
        <v>47</v>
      </c>
      <c r="S82" t="s">
        <v>64</v>
      </c>
      <c r="T82" s="2">
        <v>44140</v>
      </c>
      <c r="U82" t="s">
        <v>49</v>
      </c>
      <c r="V82" t="s">
        <v>38</v>
      </c>
      <c r="W82">
        <v>15</v>
      </c>
      <c r="X82" s="1">
        <v>31079</v>
      </c>
      <c r="Y82" s="1">
        <f t="shared" si="5"/>
        <v>7769.75</v>
      </c>
      <c r="Z82" s="1">
        <f t="shared" si="4"/>
        <v>23309.25</v>
      </c>
      <c r="AA82" s="3">
        <v>587</v>
      </c>
      <c r="AK82" s="3"/>
      <c r="AM82" s="4"/>
      <c r="AO82" s="4"/>
      <c r="BA82" s="2"/>
      <c r="BB82" s="2"/>
      <c r="BD82" s="4"/>
      <c r="BF82" s="4"/>
      <c r="BM82" s="2"/>
      <c r="BO82" s="4"/>
      <c r="BQ82" s="4"/>
      <c r="CG82" s="3"/>
      <c r="CI82" s="2"/>
      <c r="CJ82" s="2"/>
      <c r="CN82" s="2"/>
      <c r="CQ82" s="2"/>
      <c r="CV82" s="4"/>
      <c r="CX82" s="4"/>
      <c r="DB82" s="2"/>
      <c r="DC82" s="2"/>
      <c r="DE82" s="2"/>
      <c r="DF82" s="2"/>
      <c r="DV82" s="2"/>
      <c r="DW82" s="2"/>
      <c r="EF82" s="4"/>
      <c r="EH82" s="4"/>
      <c r="ES82" s="2"/>
      <c r="EX82" s="4"/>
      <c r="EZ82" s="4"/>
      <c r="FQ82" s="4"/>
      <c r="FS82" s="4"/>
      <c r="GJ82" s="4"/>
      <c r="GR82" s="2"/>
      <c r="GS82" s="3"/>
      <c r="GU82" s="3"/>
      <c r="GV82" s="2"/>
      <c r="HB82" s="3"/>
      <c r="HP82" s="2"/>
      <c r="HS82" s="4"/>
      <c r="HU82" s="4"/>
      <c r="II82" s="4"/>
      <c r="IK82" s="4"/>
      <c r="IS82" s="2"/>
      <c r="IV82" s="2"/>
      <c r="IW82" s="4"/>
      <c r="IY82" s="4"/>
      <c r="JH82" s="2"/>
      <c r="JK82" s="4"/>
      <c r="JM82" s="4"/>
      <c r="JZ82" s="2"/>
      <c r="KD82" s="4"/>
      <c r="KF82" s="4"/>
      <c r="KJ82" s="4"/>
      <c r="KT82" s="2"/>
      <c r="KU82" s="2"/>
      <c r="KW82" s="2"/>
      <c r="LC82" s="2"/>
      <c r="LF82" s="2"/>
      <c r="LK82" s="2"/>
      <c r="LT82" s="4"/>
      <c r="LV82" s="4"/>
      <c r="MN82" s="5"/>
      <c r="NB82" s="2"/>
      <c r="NC82" s="2"/>
      <c r="NJ82" s="2"/>
      <c r="NN82" s="2"/>
      <c r="NT82" s="4"/>
      <c r="NV82" s="4"/>
      <c r="OA82" s="2"/>
      <c r="OB82" s="2"/>
      <c r="ON82" s="2"/>
      <c r="OR82" s="4"/>
      <c r="OT82" s="4"/>
      <c r="PD82" s="2"/>
      <c r="PH82" s="2"/>
      <c r="PQ82" s="2"/>
      <c r="PX82" s="2"/>
      <c r="PZ82" s="2"/>
      <c r="QF82" s="4"/>
      <c r="QH82" s="4"/>
      <c r="QZ82" s="2"/>
      <c r="RA82" s="2"/>
      <c r="RN82" s="4"/>
      <c r="RO82" s="4"/>
      <c r="RT82" s="2"/>
      <c r="RU82" s="2"/>
      <c r="SA82" s="4"/>
      <c r="SC82" s="4"/>
      <c r="SN82" s="2"/>
      <c r="SQ82" s="4"/>
      <c r="SS82" s="4"/>
      <c r="TG82" s="2"/>
      <c r="TH82" s="2"/>
      <c r="TI82" s="2"/>
      <c r="TN82" s="3"/>
      <c r="TU82" s="4"/>
      <c r="TW82" s="4"/>
    </row>
    <row r="83" spans="1:543">
      <c r="A83">
        <v>9440</v>
      </c>
      <c r="B83">
        <v>2743</v>
      </c>
      <c r="C83">
        <v>8873973786</v>
      </c>
      <c r="D83" t="s">
        <v>440</v>
      </c>
      <c r="E83" t="s">
        <v>445</v>
      </c>
      <c r="F83" t="s">
        <v>446</v>
      </c>
      <c r="G83" s="2">
        <v>40511</v>
      </c>
      <c r="H83" t="s">
        <v>43</v>
      </c>
      <c r="I83" t="s">
        <v>87</v>
      </c>
      <c r="J83" t="s">
        <v>61</v>
      </c>
      <c r="K83" t="s">
        <v>447</v>
      </c>
      <c r="L83" t="s">
        <v>77</v>
      </c>
      <c r="M83" s="2">
        <v>45290</v>
      </c>
      <c r="N83" t="s">
        <v>448</v>
      </c>
      <c r="O83" s="2">
        <f>DATE(YEAR(G83) + P83, MONTH(G83), DAY(G83))</f>
        <v>62791</v>
      </c>
      <c r="P83">
        <v>61</v>
      </c>
      <c r="Q83" s="2">
        <v>45237</v>
      </c>
      <c r="R83" t="s">
        <v>36</v>
      </c>
      <c r="S83" t="s">
        <v>48</v>
      </c>
      <c r="T83" s="2">
        <v>44127</v>
      </c>
      <c r="U83" t="s">
        <v>49</v>
      </c>
      <c r="V83" t="s">
        <v>39</v>
      </c>
      <c r="W83">
        <v>14</v>
      </c>
      <c r="X83" s="1">
        <v>50626</v>
      </c>
      <c r="Y83" s="1">
        <f t="shared" si="5"/>
        <v>12656.5</v>
      </c>
      <c r="Z83" s="1">
        <f t="shared" si="4"/>
        <v>37969.5</v>
      </c>
      <c r="AA83" s="3">
        <v>267</v>
      </c>
      <c r="AK83" s="3"/>
      <c r="AO83" s="4"/>
      <c r="BB83" s="2"/>
      <c r="BF83" s="4"/>
      <c r="BM83" s="2"/>
      <c r="BO83" s="4"/>
      <c r="BQ83" s="4"/>
      <c r="CI83" s="2"/>
      <c r="CJ83" s="2"/>
      <c r="CN83" s="2"/>
      <c r="CQ83" s="2"/>
      <c r="CV83" s="4"/>
      <c r="CX83" s="4"/>
      <c r="DB83" s="2"/>
      <c r="DC83" s="2"/>
      <c r="DE83" s="2"/>
      <c r="DF83" s="2"/>
      <c r="DV83" s="2"/>
      <c r="DW83" s="2"/>
      <c r="EF83" s="4"/>
      <c r="EH83" s="4"/>
      <c r="ES83" s="2"/>
      <c r="EU83" s="3"/>
      <c r="EX83" s="4"/>
      <c r="EZ83" s="4"/>
      <c r="FQ83" s="4"/>
      <c r="FS83" s="4"/>
      <c r="GE83" s="2"/>
      <c r="GJ83" s="4"/>
      <c r="GL83" s="4"/>
      <c r="GT83" s="3"/>
      <c r="GV83" s="2"/>
      <c r="GW83" s="3"/>
      <c r="GY83" s="3"/>
      <c r="HB83" s="3"/>
      <c r="HP83" s="2"/>
      <c r="HS83" s="4"/>
      <c r="HU83" s="4"/>
      <c r="II83" s="4"/>
      <c r="IK83" s="4"/>
      <c r="IS83" s="2"/>
      <c r="IT83" s="2"/>
      <c r="IV83" s="2"/>
      <c r="IW83" s="4"/>
      <c r="IY83" s="4"/>
      <c r="JH83" s="2"/>
      <c r="JK83" s="4"/>
      <c r="JZ83" s="2"/>
      <c r="KF83" s="4"/>
      <c r="KT83" s="2"/>
      <c r="KU83" s="2"/>
      <c r="KW83" s="2"/>
      <c r="LC83" s="2"/>
      <c r="LF83" s="2"/>
      <c r="LK83" s="2"/>
      <c r="LT83" s="4"/>
      <c r="LV83" s="4"/>
      <c r="MG83" s="3"/>
      <c r="MH83" s="3"/>
      <c r="NB83" s="2"/>
      <c r="NC83" s="2"/>
      <c r="NJ83" s="2"/>
      <c r="NN83" s="2"/>
      <c r="NO83" s="2"/>
      <c r="NT83" s="4"/>
      <c r="NV83" s="4"/>
      <c r="OA83" s="2"/>
      <c r="OB83" s="2"/>
      <c r="OR83" s="4"/>
      <c r="OT83" s="4"/>
      <c r="PD83" s="2"/>
      <c r="PH83" s="2"/>
      <c r="PQ83" s="2"/>
      <c r="PX83" s="2"/>
      <c r="PZ83" s="2"/>
      <c r="QF83" s="4"/>
      <c r="QH83" s="4"/>
      <c r="QX83" s="3"/>
      <c r="QZ83" s="2"/>
      <c r="RA83" s="2"/>
      <c r="RN83" s="4"/>
      <c r="RO83" s="4"/>
      <c r="RU83" s="2"/>
      <c r="SA83" s="4"/>
      <c r="SC83" s="4"/>
      <c r="SN83" s="2"/>
      <c r="SQ83" s="4"/>
      <c r="SS83" s="4"/>
      <c r="TG83" s="2"/>
      <c r="TH83" s="2"/>
      <c r="TI83" s="2"/>
      <c r="TU83" s="4"/>
      <c r="TW83" s="4"/>
    </row>
    <row r="84" spans="1:543">
      <c r="A84">
        <v>5356</v>
      </c>
      <c r="B84">
        <v>5376</v>
      </c>
      <c r="C84">
        <v>9555739225</v>
      </c>
      <c r="D84" t="s">
        <v>440</v>
      </c>
      <c r="E84" t="s">
        <v>449</v>
      </c>
      <c r="F84" t="s">
        <v>450</v>
      </c>
      <c r="G84" s="2">
        <v>40216</v>
      </c>
      <c r="H84" t="s">
        <v>30</v>
      </c>
      <c r="I84" t="s">
        <v>53</v>
      </c>
      <c r="J84" t="s">
        <v>32</v>
      </c>
      <c r="K84" t="s">
        <v>451</v>
      </c>
      <c r="L84" t="s">
        <v>95</v>
      </c>
      <c r="N84" t="s">
        <v>452</v>
      </c>
      <c r="O84" s="2">
        <f>DATE(YEAR(G84) + P84, MONTH(G84), DAY(G84))</f>
        <v>63957</v>
      </c>
      <c r="P84">
        <v>65</v>
      </c>
      <c r="Q84" s="2"/>
      <c r="R84" t="s">
        <v>47</v>
      </c>
      <c r="S84" t="s">
        <v>181</v>
      </c>
      <c r="T84" s="2">
        <v>41759</v>
      </c>
      <c r="U84" t="s">
        <v>133</v>
      </c>
      <c r="V84" t="s">
        <v>66</v>
      </c>
      <c r="W84">
        <v>21</v>
      </c>
      <c r="X84" s="1">
        <v>13863</v>
      </c>
      <c r="Y84" s="1">
        <f t="shared" si="5"/>
        <v>3465.75</v>
      </c>
      <c r="Z84" s="1">
        <f t="shared" si="4"/>
        <v>10397.25</v>
      </c>
      <c r="AA84" s="3">
        <v>115</v>
      </c>
      <c r="AK84" s="3"/>
      <c r="AM84" s="4"/>
      <c r="AO84" s="4"/>
      <c r="BA84" s="2"/>
      <c r="BB84" s="2"/>
      <c r="BD84" s="4"/>
      <c r="BF84" s="4"/>
      <c r="BM84" s="2"/>
      <c r="BO84" s="4"/>
      <c r="BQ84" s="4"/>
      <c r="CI84" s="2"/>
      <c r="CJ84" s="2"/>
      <c r="CK84" s="3"/>
      <c r="CL84" s="3"/>
      <c r="CN84" s="2"/>
      <c r="CQ84" s="2"/>
      <c r="CV84" s="4"/>
      <c r="CX84" s="4"/>
      <c r="DB84" s="2"/>
      <c r="DC84" s="2"/>
      <c r="DD84" s="3"/>
      <c r="DE84" s="2"/>
      <c r="DV84" s="2"/>
      <c r="DW84" s="2"/>
      <c r="EF84" s="4"/>
      <c r="EH84" s="4"/>
      <c r="ER84" s="2"/>
      <c r="ES84" s="2"/>
      <c r="EZ84" s="4"/>
      <c r="FQ84" s="4"/>
      <c r="FS84" s="4"/>
      <c r="GE84" s="2"/>
      <c r="GJ84" s="4"/>
      <c r="GL84" s="4"/>
      <c r="GV84" s="2"/>
      <c r="GW84" s="3"/>
      <c r="GX84" s="3"/>
      <c r="HB84" s="3"/>
      <c r="HP84" s="2"/>
      <c r="HS84" s="4"/>
      <c r="HU84" s="4"/>
      <c r="II84" s="4"/>
      <c r="IK84" s="4"/>
      <c r="IT84" s="2"/>
      <c r="IW84" s="4"/>
      <c r="IY84" s="4"/>
      <c r="JH84" s="2"/>
      <c r="JK84" s="4"/>
      <c r="JZ84" s="2"/>
      <c r="KD84" s="4"/>
      <c r="KF84" s="4"/>
      <c r="KJ84" s="4"/>
      <c r="KU84" s="2"/>
      <c r="KW84" s="2"/>
      <c r="LC84" s="2"/>
      <c r="LF84" s="2"/>
      <c r="LT84" s="4"/>
      <c r="LV84" s="4"/>
      <c r="MA84" s="3"/>
      <c r="ME84" s="3"/>
      <c r="NB84" s="2"/>
      <c r="NC84" s="2"/>
      <c r="NJ84" s="2"/>
      <c r="NN84" s="2"/>
      <c r="NO84" s="2"/>
      <c r="NT84" s="4"/>
      <c r="NV84" s="4"/>
      <c r="OA84" s="2"/>
      <c r="OB84" s="2"/>
      <c r="ON84" s="2"/>
      <c r="OO84" s="3"/>
      <c r="OR84" s="4"/>
      <c r="OT84" s="4"/>
      <c r="PD84" s="2"/>
      <c r="PH84" s="2"/>
      <c r="PP84" s="3"/>
      <c r="PQ84" s="2"/>
      <c r="PX84" s="2"/>
      <c r="PZ84" s="2"/>
      <c r="QF84" s="4"/>
      <c r="QH84" s="4"/>
      <c r="QJ84" s="3"/>
      <c r="QZ84" s="2"/>
      <c r="RA84" s="2"/>
      <c r="RN84" s="4"/>
      <c r="RO84" s="4"/>
      <c r="RR84" s="2"/>
      <c r="RT84" s="2"/>
      <c r="SA84" s="4"/>
      <c r="SC84" s="4"/>
      <c r="SN84" s="2"/>
      <c r="SQ84" s="4"/>
      <c r="SS84" s="4"/>
      <c r="TG84" s="2"/>
      <c r="TH84" s="2"/>
      <c r="TI84" s="2"/>
      <c r="TU84" s="4"/>
      <c r="TW84" s="4"/>
    </row>
    <row r="85" spans="1:543">
      <c r="A85">
        <v>913</v>
      </c>
      <c r="B85">
        <v>5515</v>
      </c>
      <c r="C85">
        <v>5798268104</v>
      </c>
      <c r="D85" t="s">
        <v>415</v>
      </c>
      <c r="E85" t="s">
        <v>453</v>
      </c>
      <c r="F85" t="s">
        <v>454</v>
      </c>
      <c r="G85" s="2">
        <v>29889</v>
      </c>
      <c r="H85" t="s">
        <v>43</v>
      </c>
      <c r="I85" t="s">
        <v>130</v>
      </c>
      <c r="J85" t="s">
        <v>32</v>
      </c>
      <c r="K85" t="s">
        <v>455</v>
      </c>
      <c r="L85" t="s">
        <v>95</v>
      </c>
      <c r="N85" t="s">
        <v>456</v>
      </c>
      <c r="O85" s="2">
        <f>DATE(YEAR(G85) + P85, MONTH(G85), DAY(G85))</f>
        <v>52900</v>
      </c>
      <c r="P85">
        <v>63</v>
      </c>
      <c r="Q85" s="2"/>
      <c r="R85" t="s">
        <v>47</v>
      </c>
      <c r="S85" t="s">
        <v>64</v>
      </c>
      <c r="T85" s="2">
        <v>38853</v>
      </c>
      <c r="U85" t="s">
        <v>65</v>
      </c>
      <c r="V85" t="s">
        <v>66</v>
      </c>
      <c r="W85">
        <v>16</v>
      </c>
      <c r="X85" s="1">
        <v>24989</v>
      </c>
      <c r="Y85" s="1">
        <f t="shared" si="5"/>
        <v>6247.25</v>
      </c>
      <c r="Z85" s="1">
        <f t="shared" si="4"/>
        <v>18741.75</v>
      </c>
      <c r="AA85" s="3">
        <v>849</v>
      </c>
      <c r="AJ85" s="3"/>
      <c r="AK85" s="3"/>
      <c r="AM85" s="4"/>
      <c r="AO85" s="4"/>
      <c r="BA85" s="2"/>
      <c r="BB85" s="2"/>
      <c r="BD85" s="4"/>
      <c r="BF85" s="4"/>
      <c r="BM85" s="2"/>
      <c r="BO85" s="4"/>
      <c r="BQ85" s="4"/>
      <c r="CI85" s="2"/>
      <c r="CJ85" s="2"/>
      <c r="CN85" s="2"/>
      <c r="CQ85" s="2"/>
      <c r="CV85" s="4"/>
      <c r="CX85" s="4"/>
      <c r="DB85" s="2"/>
      <c r="DC85" s="2"/>
      <c r="DE85" s="2"/>
      <c r="DF85" s="2"/>
      <c r="DV85" s="2"/>
      <c r="DW85" s="2"/>
      <c r="EF85" s="4"/>
      <c r="EH85" s="4"/>
      <c r="ER85" s="2"/>
      <c r="ES85" s="2"/>
      <c r="EX85" s="4"/>
      <c r="EZ85" s="4"/>
      <c r="FQ85" s="4"/>
      <c r="FS85" s="4"/>
      <c r="GE85" s="2"/>
      <c r="GJ85" s="4"/>
      <c r="GL85" s="4"/>
      <c r="GR85" s="2"/>
      <c r="GS85" s="3"/>
      <c r="GV85" s="2"/>
      <c r="GX85" s="3"/>
      <c r="HB85" s="3"/>
      <c r="HP85" s="2"/>
      <c r="HS85" s="4"/>
      <c r="HU85" s="4"/>
      <c r="IF85" s="3"/>
      <c r="II85" s="4"/>
      <c r="IK85" s="4"/>
      <c r="IS85" s="2"/>
      <c r="IT85" s="2"/>
      <c r="IY85" s="4"/>
      <c r="JH85" s="2"/>
      <c r="JK85" s="4"/>
      <c r="JM85" s="4"/>
      <c r="JZ85" s="2"/>
      <c r="KD85" s="4"/>
      <c r="KJ85" s="4"/>
      <c r="KT85" s="2"/>
      <c r="KU85" s="2"/>
      <c r="KW85" s="2"/>
      <c r="LC85" s="2"/>
      <c r="LF85" s="2"/>
      <c r="LH85" s="3"/>
      <c r="LK85" s="2"/>
      <c r="LT85" s="4"/>
      <c r="LV85" s="4"/>
      <c r="ML85" s="3"/>
      <c r="NB85" s="2"/>
      <c r="NC85" s="2"/>
      <c r="NJ85" s="2"/>
      <c r="NN85" s="2"/>
      <c r="NO85" s="2"/>
      <c r="NT85" s="4"/>
      <c r="NV85" s="4"/>
      <c r="OA85" s="2"/>
      <c r="OB85" s="2"/>
      <c r="OJ85" s="3"/>
      <c r="ON85" s="2"/>
      <c r="OR85" s="4"/>
      <c r="OT85" s="4"/>
      <c r="PD85" s="2"/>
      <c r="PH85" s="2"/>
      <c r="PI85" s="3"/>
      <c r="PQ85" s="2"/>
      <c r="PX85" s="2"/>
      <c r="PY85" s="3"/>
      <c r="PZ85" s="2"/>
      <c r="QF85" s="4"/>
      <c r="QH85" s="4"/>
      <c r="QZ85" s="2"/>
      <c r="RA85" s="2"/>
      <c r="RN85" s="4"/>
      <c r="RR85" s="2"/>
      <c r="RT85" s="2"/>
      <c r="RU85" s="2"/>
      <c r="SA85" s="4"/>
      <c r="SC85" s="4"/>
      <c r="SN85" s="2"/>
      <c r="SQ85" s="4"/>
      <c r="SS85" s="4"/>
      <c r="TG85" s="2"/>
      <c r="TH85" s="2"/>
      <c r="TI85" s="2"/>
      <c r="TO85" s="3"/>
      <c r="TU85" s="4"/>
      <c r="TW85" s="4"/>
    </row>
    <row r="86" spans="1:543">
      <c r="A86">
        <v>7286</v>
      </c>
      <c r="B86">
        <v>7437</v>
      </c>
      <c r="C86" s="3" t="s">
        <v>457</v>
      </c>
      <c r="D86" t="s">
        <v>316</v>
      </c>
      <c r="E86" t="s">
        <v>458</v>
      </c>
      <c r="F86" t="s">
        <v>459</v>
      </c>
      <c r="G86" s="2">
        <v>34747</v>
      </c>
      <c r="H86" t="s">
        <v>43</v>
      </c>
      <c r="I86" t="s">
        <v>60</v>
      </c>
      <c r="J86" t="s">
        <v>32</v>
      </c>
      <c r="K86" t="s">
        <v>460</v>
      </c>
      <c r="L86" t="s">
        <v>34</v>
      </c>
      <c r="M86" s="2"/>
      <c r="N86" t="s">
        <v>461</v>
      </c>
      <c r="O86" s="2">
        <f>DATE(YEAR(G86) + P86, MONTH(G86), DAY(G86))</f>
        <v>58854</v>
      </c>
      <c r="P86">
        <v>66</v>
      </c>
      <c r="Q86" s="2">
        <v>31697</v>
      </c>
      <c r="R86" t="s">
        <v>36</v>
      </c>
      <c r="S86" t="s">
        <v>109</v>
      </c>
      <c r="T86" t="s">
        <v>462</v>
      </c>
      <c r="U86" t="s">
        <v>38</v>
      </c>
      <c r="V86" t="s">
        <v>56</v>
      </c>
      <c r="W86">
        <v>16</v>
      </c>
      <c r="X86" s="1">
        <v>41781</v>
      </c>
      <c r="Y86" s="1">
        <f t="shared" si="5"/>
        <v>10445.25</v>
      </c>
      <c r="Z86" s="1">
        <f t="shared" si="4"/>
        <v>31335.75</v>
      </c>
      <c r="AA86" s="3">
        <v>124</v>
      </c>
      <c r="AK86" s="3"/>
      <c r="AM86" s="4"/>
      <c r="AO86" s="4"/>
      <c r="BA86" s="2"/>
      <c r="BB86" s="2"/>
      <c r="BD86" s="4"/>
      <c r="BF86" s="4"/>
      <c r="BM86" s="2"/>
      <c r="BO86" s="4"/>
      <c r="BQ86" s="4"/>
      <c r="CF86" s="3"/>
      <c r="CI86" s="2"/>
      <c r="CJ86" s="2"/>
      <c r="CN86" s="2"/>
      <c r="CQ86" s="2"/>
      <c r="CV86" s="4"/>
      <c r="CX86" s="4"/>
      <c r="DB86" s="2"/>
      <c r="DC86" s="2"/>
      <c r="DE86" s="2"/>
      <c r="DF86" s="2"/>
      <c r="DV86" s="2"/>
      <c r="DW86" s="2"/>
      <c r="EF86" s="4"/>
      <c r="EH86" s="4"/>
      <c r="ER86" s="2"/>
      <c r="ES86" s="2"/>
      <c r="EX86" s="4"/>
      <c r="EZ86" s="4"/>
      <c r="FQ86" s="4"/>
      <c r="FS86" s="4"/>
      <c r="GE86" s="2"/>
      <c r="GJ86" s="4"/>
      <c r="GL86" s="4"/>
      <c r="GR86" s="2"/>
      <c r="GS86" s="3"/>
      <c r="GW86" s="3"/>
      <c r="HB86" s="3"/>
      <c r="HP86" s="2"/>
      <c r="HS86" s="4"/>
      <c r="II86" s="4"/>
      <c r="IK86" s="4"/>
      <c r="IS86" s="2"/>
      <c r="IT86" s="2"/>
      <c r="IV86" s="2"/>
      <c r="IW86" s="4"/>
      <c r="JH86" s="2"/>
      <c r="JK86" s="4"/>
      <c r="JM86" s="4"/>
      <c r="KD86" s="4"/>
      <c r="KF86" s="4"/>
      <c r="KJ86" s="4"/>
      <c r="KT86" s="2"/>
      <c r="KU86" s="2"/>
      <c r="KW86" s="2"/>
      <c r="LC86" s="2"/>
      <c r="LF86" s="2"/>
      <c r="LK86" s="2"/>
      <c r="LT86" s="4"/>
      <c r="LV86" s="4"/>
      <c r="MB86" s="3"/>
      <c r="NB86" s="2"/>
      <c r="NC86" s="2"/>
      <c r="NH86" s="3"/>
      <c r="NJ86" s="2"/>
      <c r="NN86" s="2"/>
      <c r="NO86" s="2"/>
      <c r="NT86" s="4"/>
      <c r="NV86" s="4"/>
      <c r="OA86" s="2"/>
      <c r="OB86" s="2"/>
      <c r="ON86" s="2"/>
      <c r="OR86" s="4"/>
      <c r="OT86" s="4"/>
      <c r="PD86" s="2"/>
      <c r="PH86" s="2"/>
      <c r="PQ86" s="2"/>
      <c r="PX86" s="2"/>
      <c r="PY86" s="3"/>
      <c r="PZ86" s="2"/>
      <c r="QH86" s="4"/>
      <c r="QZ86" s="2"/>
      <c r="RA86" s="2"/>
      <c r="RN86" s="4"/>
      <c r="RO86" s="4"/>
      <c r="RR86" s="2"/>
      <c r="RT86" s="2"/>
      <c r="RU86" s="2"/>
      <c r="SC86" s="4"/>
      <c r="SQ86" s="4"/>
      <c r="TG86" s="2"/>
      <c r="TH86" s="2"/>
      <c r="TI86" s="2"/>
      <c r="TP86" s="3"/>
      <c r="TU86" s="4"/>
      <c r="TW86" s="4"/>
    </row>
    <row r="87" spans="1:543">
      <c r="A87">
        <v>2559</v>
      </c>
      <c r="B87">
        <v>2898</v>
      </c>
      <c r="C87">
        <v>3681967135</v>
      </c>
      <c r="D87" t="s">
        <v>463</v>
      </c>
      <c r="E87" t="s">
        <v>464</v>
      </c>
      <c r="F87" t="s">
        <v>465</v>
      </c>
      <c r="G87" s="2">
        <v>29540</v>
      </c>
      <c r="H87" t="s">
        <v>30</v>
      </c>
      <c r="I87" t="s">
        <v>407</v>
      </c>
      <c r="J87" t="s">
        <v>32</v>
      </c>
      <c r="K87" t="s">
        <v>466</v>
      </c>
      <c r="L87" t="s">
        <v>34</v>
      </c>
      <c r="M87" s="2"/>
      <c r="N87" t="s">
        <v>467</v>
      </c>
      <c r="O87" s="2">
        <f>DATE(YEAR(G87) + P87, MONTH(G87), DAY(G87))</f>
        <v>65699</v>
      </c>
      <c r="P87">
        <v>99</v>
      </c>
      <c r="Q87" s="2"/>
      <c r="R87" t="s">
        <v>47</v>
      </c>
      <c r="S87" t="s">
        <v>109</v>
      </c>
      <c r="T87" s="2">
        <v>24412</v>
      </c>
      <c r="U87" t="s">
        <v>38</v>
      </c>
      <c r="V87" t="s">
        <v>38</v>
      </c>
      <c r="W87">
        <v>8</v>
      </c>
      <c r="X87" s="1">
        <v>87597</v>
      </c>
      <c r="Y87" s="1">
        <f t="shared" si="5"/>
        <v>21899.25</v>
      </c>
      <c r="Z87" s="1">
        <f t="shared" si="4"/>
        <v>65697.75</v>
      </c>
      <c r="AA87" s="3">
        <v>718</v>
      </c>
      <c r="AK87" s="3"/>
      <c r="AM87" s="4"/>
      <c r="AO87" s="4"/>
      <c r="BA87" s="2"/>
      <c r="BB87" s="2"/>
      <c r="BD87" s="4"/>
      <c r="BF87" s="4"/>
      <c r="BM87" s="2"/>
      <c r="BO87" s="4"/>
      <c r="BQ87" s="4"/>
      <c r="CI87" s="2"/>
      <c r="CJ87" s="2"/>
      <c r="CK87" s="3"/>
      <c r="CN87" s="2"/>
      <c r="CQ87" s="2"/>
      <c r="CV87" s="4"/>
      <c r="CX87" s="4"/>
      <c r="DB87" s="2"/>
      <c r="DC87" s="2"/>
      <c r="DE87" s="2"/>
      <c r="DF87" s="2"/>
      <c r="DV87" s="2"/>
      <c r="DW87" s="2"/>
      <c r="EF87" s="4"/>
      <c r="EH87" s="4"/>
      <c r="ER87" s="2"/>
      <c r="ES87" s="2"/>
      <c r="EX87" s="4"/>
      <c r="FQ87" s="4"/>
      <c r="FS87" s="4"/>
      <c r="GE87" s="2"/>
      <c r="GJ87" s="4"/>
      <c r="GR87" s="2"/>
      <c r="GT87" s="3"/>
      <c r="GV87" s="2"/>
      <c r="GW87" s="3"/>
      <c r="GX87" s="3"/>
      <c r="HB87" s="3"/>
      <c r="HP87" s="2"/>
      <c r="HS87" s="4"/>
      <c r="HU87" s="4"/>
      <c r="II87" s="4"/>
      <c r="IK87" s="4"/>
      <c r="IS87" s="2"/>
      <c r="IT87" s="2"/>
      <c r="IV87" s="2"/>
      <c r="IW87" s="4"/>
      <c r="IY87" s="4"/>
      <c r="JH87" s="2"/>
      <c r="JK87" s="4"/>
      <c r="JM87" s="4"/>
      <c r="JZ87" s="2"/>
      <c r="KC87" s="3"/>
      <c r="KD87" s="4"/>
      <c r="KF87" s="4"/>
      <c r="KJ87" s="4"/>
      <c r="KU87" s="2"/>
      <c r="KW87" s="2"/>
      <c r="LC87" s="2"/>
      <c r="LF87" s="2"/>
      <c r="LK87" s="2"/>
      <c r="LT87" s="4"/>
      <c r="LV87" s="4"/>
      <c r="NB87" s="2"/>
      <c r="NC87" s="2"/>
      <c r="NJ87" s="2"/>
      <c r="NN87" s="2"/>
      <c r="NO87" s="2"/>
      <c r="NT87" s="4"/>
      <c r="NV87" s="4"/>
      <c r="OB87" s="2"/>
      <c r="ON87" s="2"/>
      <c r="OR87" s="4"/>
      <c r="OT87" s="4"/>
      <c r="PD87" s="2"/>
      <c r="PH87" s="2"/>
      <c r="PP87" s="3"/>
      <c r="PQ87" s="2"/>
      <c r="PX87" s="2"/>
      <c r="PZ87" s="2"/>
      <c r="QF87" s="4"/>
      <c r="QZ87" s="2"/>
      <c r="RA87" s="2"/>
      <c r="RN87" s="4"/>
      <c r="RO87" s="4"/>
      <c r="RR87" s="2"/>
      <c r="RT87" s="2"/>
      <c r="RU87" s="2"/>
      <c r="SA87" s="4"/>
      <c r="SC87" s="4"/>
      <c r="SN87" s="2"/>
      <c r="SQ87" s="4"/>
      <c r="SS87" s="4"/>
      <c r="TG87" s="2"/>
      <c r="TH87" s="2"/>
      <c r="TI87" s="2"/>
      <c r="TU87" s="4"/>
      <c r="TW87" s="4"/>
    </row>
    <row r="88" spans="1:543">
      <c r="A88">
        <v>8149</v>
      </c>
      <c r="B88">
        <v>3543</v>
      </c>
      <c r="C88">
        <v>5990835775</v>
      </c>
      <c r="D88" t="s">
        <v>463</v>
      </c>
      <c r="E88" t="s">
        <v>468</v>
      </c>
      <c r="F88" t="s">
        <v>469</v>
      </c>
      <c r="G88" s="2">
        <v>36585</v>
      </c>
      <c r="H88" t="s">
        <v>30</v>
      </c>
      <c r="I88" t="s">
        <v>31</v>
      </c>
      <c r="J88" t="s">
        <v>32</v>
      </c>
      <c r="K88" t="s">
        <v>470</v>
      </c>
      <c r="L88" t="s">
        <v>77</v>
      </c>
      <c r="M88" s="2"/>
      <c r="N88" t="s">
        <v>471</v>
      </c>
      <c r="O88" s="2">
        <f>DATE(YEAR(G88) + P88, MONTH(G88), DAY(G88))</f>
        <v>61788</v>
      </c>
      <c r="P88">
        <v>69</v>
      </c>
      <c r="Q88" s="2">
        <v>32271</v>
      </c>
      <c r="R88" t="s">
        <v>36</v>
      </c>
      <c r="S88" t="s">
        <v>37</v>
      </c>
      <c r="T88" s="2">
        <v>40275</v>
      </c>
      <c r="U88" t="s">
        <v>103</v>
      </c>
      <c r="V88" t="s">
        <v>38</v>
      </c>
      <c r="W88">
        <v>19</v>
      </c>
      <c r="X88" s="1">
        <v>88343</v>
      </c>
      <c r="Y88" s="1">
        <f t="shared" si="5"/>
        <v>22085.75</v>
      </c>
      <c r="Z88" s="1">
        <f t="shared" si="4"/>
        <v>66257.25</v>
      </c>
      <c r="AA88" s="3">
        <v>822</v>
      </c>
      <c r="AK88" s="3"/>
      <c r="AM88" s="4"/>
      <c r="AO88" s="4"/>
      <c r="BA88" s="2"/>
      <c r="BB88" s="2"/>
      <c r="BD88" s="4"/>
      <c r="BM88" s="2"/>
      <c r="BO88" s="4"/>
      <c r="BQ88" s="4"/>
      <c r="CH88" s="3"/>
      <c r="CI88" s="2"/>
      <c r="CJ88" s="2"/>
      <c r="CN88" s="2"/>
      <c r="CQ88" s="2"/>
      <c r="CV88" s="4"/>
      <c r="CX88" s="4"/>
      <c r="DB88" s="2"/>
      <c r="DC88" s="2"/>
      <c r="DE88" s="2"/>
      <c r="DF88" s="2"/>
      <c r="DV88" s="2"/>
      <c r="DW88" s="2"/>
      <c r="EF88" s="4"/>
      <c r="EH88" s="4"/>
      <c r="ER88" s="2"/>
      <c r="ES88" s="2"/>
      <c r="EZ88" s="4"/>
      <c r="FQ88" s="4"/>
      <c r="FS88" s="4"/>
      <c r="GE88" s="2"/>
      <c r="GJ88" s="4"/>
      <c r="GL88" s="4"/>
      <c r="GS88" s="3"/>
      <c r="GV88" s="2"/>
      <c r="GW88" s="3"/>
      <c r="GX88" s="3"/>
      <c r="GY88" s="3"/>
      <c r="HB88" s="3"/>
      <c r="HP88" s="2"/>
      <c r="HS88" s="4"/>
      <c r="HU88" s="4"/>
      <c r="II88" s="4"/>
      <c r="IK88" s="4"/>
      <c r="IS88" s="2"/>
      <c r="IT88" s="2"/>
      <c r="IV88" s="2"/>
      <c r="IW88" s="4"/>
      <c r="JH88" s="2"/>
      <c r="JK88" s="4"/>
      <c r="JM88" s="4"/>
      <c r="JZ88" s="2"/>
      <c r="KC88" s="3"/>
      <c r="KD88" s="4"/>
      <c r="KF88" s="4"/>
      <c r="KJ88" s="4"/>
      <c r="KT88" s="2"/>
      <c r="KU88" s="2"/>
      <c r="KW88" s="2"/>
      <c r="LC88" s="2"/>
      <c r="LF88" s="2"/>
      <c r="LT88" s="4"/>
      <c r="LV88" s="4"/>
      <c r="NB88" s="2"/>
      <c r="NJ88" s="2"/>
      <c r="NN88" s="2"/>
      <c r="NO88" s="2"/>
      <c r="NT88" s="4"/>
      <c r="NV88" s="4"/>
      <c r="OA88" s="2"/>
      <c r="OB88" s="2"/>
      <c r="OJ88" s="3"/>
      <c r="ON88" s="2"/>
      <c r="OR88" s="4"/>
      <c r="OT88" s="4"/>
      <c r="PD88" s="2"/>
      <c r="PH88" s="2"/>
      <c r="PQ88" s="2"/>
      <c r="PZ88" s="2"/>
      <c r="QF88" s="4"/>
      <c r="QH88" s="4"/>
      <c r="QX88" s="3"/>
      <c r="QZ88" s="2"/>
      <c r="RA88" s="2"/>
      <c r="RN88" s="4"/>
      <c r="RO88" s="4"/>
      <c r="RR88" s="2"/>
      <c r="RT88" s="2"/>
      <c r="RU88" s="2"/>
      <c r="SC88" s="4"/>
      <c r="SN88" s="2"/>
      <c r="SS88" s="4"/>
      <c r="TG88" s="2"/>
      <c r="TH88" s="2"/>
      <c r="TI88" s="2"/>
      <c r="TU88" s="4"/>
      <c r="TW88" s="4"/>
    </row>
    <row r="89" spans="1:543">
      <c r="A89">
        <v>7064</v>
      </c>
      <c r="B89">
        <v>6306</v>
      </c>
      <c r="C89" s="3" t="s">
        <v>472</v>
      </c>
      <c r="D89" t="s">
        <v>72</v>
      </c>
      <c r="E89" t="s">
        <v>473</v>
      </c>
      <c r="F89" t="s">
        <v>474</v>
      </c>
      <c r="G89" s="2">
        <v>32195</v>
      </c>
      <c r="H89" t="s">
        <v>30</v>
      </c>
      <c r="I89" t="s">
        <v>75</v>
      </c>
      <c r="J89" t="s">
        <v>32</v>
      </c>
      <c r="K89" t="s">
        <v>475</v>
      </c>
      <c r="L89" t="s">
        <v>34</v>
      </c>
      <c r="M89" s="2"/>
      <c r="N89" t="s">
        <v>476</v>
      </c>
      <c r="O89" s="2">
        <f>DATE(YEAR(G89) + P89, MONTH(G89), DAY(G89))</f>
        <v>57398</v>
      </c>
      <c r="P89">
        <v>69</v>
      </c>
      <c r="Q89" s="2"/>
      <c r="R89" t="s">
        <v>47</v>
      </c>
      <c r="S89" t="s">
        <v>37</v>
      </c>
      <c r="T89" s="2">
        <v>44293</v>
      </c>
      <c r="U89" t="s">
        <v>103</v>
      </c>
      <c r="V89" t="s">
        <v>66</v>
      </c>
      <c r="W89">
        <v>10</v>
      </c>
      <c r="X89" s="1">
        <v>2078</v>
      </c>
      <c r="Y89" s="1">
        <f t="shared" si="5"/>
        <v>519.5</v>
      </c>
      <c r="Z89" s="1">
        <f t="shared" si="4"/>
        <v>1558.5</v>
      </c>
      <c r="AA89" s="3">
        <v>446</v>
      </c>
      <c r="AB89" s="3"/>
      <c r="AK89" s="3"/>
      <c r="AM89" s="4"/>
      <c r="AO89" s="4"/>
      <c r="BA89" s="2"/>
      <c r="BB89" s="2"/>
      <c r="BD89" s="4"/>
      <c r="BF89" s="4"/>
      <c r="BM89" s="2"/>
      <c r="BO89" s="4"/>
      <c r="BQ89" s="4"/>
      <c r="CI89" s="2"/>
      <c r="CN89" s="2"/>
      <c r="CQ89" s="2"/>
      <c r="CV89" s="4"/>
      <c r="CX89" s="4"/>
      <c r="DC89" s="2"/>
      <c r="DE89" s="2"/>
      <c r="DF89" s="2"/>
      <c r="DV89" s="2"/>
      <c r="DW89" s="2"/>
      <c r="EF89" s="4"/>
      <c r="EH89" s="4"/>
      <c r="ER89" s="2"/>
      <c r="ES89" s="2"/>
      <c r="EX89" s="4"/>
      <c r="EZ89" s="4"/>
      <c r="FQ89" s="4"/>
      <c r="FS89" s="4"/>
      <c r="GE89" s="2"/>
      <c r="GJ89" s="4"/>
      <c r="GL89" s="4"/>
      <c r="GR89" s="2"/>
      <c r="GV89" s="2"/>
      <c r="GX89" s="3"/>
      <c r="GY89" s="3"/>
      <c r="HB89" s="3"/>
      <c r="HS89" s="4"/>
      <c r="HU89" s="4"/>
      <c r="II89" s="4"/>
      <c r="IK89" s="4"/>
      <c r="IS89" s="2"/>
      <c r="IT89" s="2"/>
      <c r="IV89" s="2"/>
      <c r="IW89" s="4"/>
      <c r="IY89" s="4"/>
      <c r="JH89" s="2"/>
      <c r="JK89" s="4"/>
      <c r="JM89" s="4"/>
      <c r="KD89" s="4"/>
      <c r="KF89" s="4"/>
      <c r="KJ89" s="4"/>
      <c r="KT89" s="2"/>
      <c r="KW89" s="2"/>
      <c r="LC89" s="2"/>
      <c r="LF89" s="2"/>
      <c r="LK89" s="2"/>
      <c r="LT89" s="4"/>
      <c r="NB89" s="2"/>
      <c r="NC89" s="2"/>
      <c r="NH89" s="3"/>
      <c r="NJ89" s="2"/>
      <c r="NN89" s="2"/>
      <c r="NO89" s="2"/>
      <c r="NT89" s="4"/>
      <c r="NV89" s="4"/>
      <c r="OA89" s="2"/>
      <c r="OB89" s="2"/>
      <c r="OK89" s="3"/>
      <c r="ON89" s="2"/>
      <c r="OR89" s="4"/>
      <c r="OT89" s="4"/>
      <c r="PD89" s="2"/>
      <c r="PH89" s="2"/>
      <c r="PQ89" s="2"/>
      <c r="PX89" s="2"/>
      <c r="PY89" s="3"/>
      <c r="PZ89" s="2"/>
      <c r="QF89" s="4"/>
      <c r="QH89" s="4"/>
      <c r="QZ89" s="2"/>
      <c r="RA89" s="2"/>
      <c r="RN89" s="4"/>
      <c r="RO89" s="4"/>
      <c r="RR89" s="2"/>
      <c r="RT89" s="2"/>
      <c r="RU89" s="2"/>
      <c r="SA89" s="4"/>
      <c r="SN89" s="2"/>
      <c r="SQ89" s="4"/>
      <c r="SS89" s="4"/>
      <c r="TG89" s="2"/>
      <c r="TH89" s="2"/>
      <c r="TI89" s="2"/>
      <c r="TU89" s="4"/>
      <c r="TW89" s="4"/>
    </row>
    <row r="90" spans="1:543">
      <c r="A90">
        <v>8800</v>
      </c>
      <c r="B90">
        <v>5512</v>
      </c>
      <c r="C90" s="3" t="s">
        <v>477</v>
      </c>
      <c r="D90" t="s">
        <v>478</v>
      </c>
      <c r="E90" t="s">
        <v>479</v>
      </c>
      <c r="F90" t="s">
        <v>480</v>
      </c>
      <c r="G90" s="2">
        <v>39451</v>
      </c>
      <c r="H90" t="s">
        <v>30</v>
      </c>
      <c r="I90" t="s">
        <v>137</v>
      </c>
      <c r="J90" t="s">
        <v>32</v>
      </c>
      <c r="K90" t="s">
        <v>481</v>
      </c>
      <c r="L90" t="s">
        <v>34</v>
      </c>
      <c r="M90" s="2">
        <v>44841</v>
      </c>
      <c r="N90" t="s">
        <v>482</v>
      </c>
      <c r="O90" s="2">
        <f>DATE(YEAR(G90) + P90, MONTH(G90), DAY(G90))</f>
        <v>63193</v>
      </c>
      <c r="P90">
        <v>65</v>
      </c>
      <c r="Q90" s="2"/>
      <c r="R90" t="s">
        <v>47</v>
      </c>
      <c r="S90" t="s">
        <v>102</v>
      </c>
      <c r="T90" t="s">
        <v>483</v>
      </c>
      <c r="U90" t="s">
        <v>49</v>
      </c>
      <c r="V90" t="s">
        <v>56</v>
      </c>
      <c r="W90">
        <v>10</v>
      </c>
      <c r="X90" s="1">
        <v>20069</v>
      </c>
      <c r="Y90" s="1">
        <f t="shared" si="5"/>
        <v>5017.25</v>
      </c>
      <c r="Z90" s="1">
        <f t="shared" si="4"/>
        <v>15051.75</v>
      </c>
      <c r="AA90" s="3">
        <v>29</v>
      </c>
      <c r="AK90" s="3"/>
      <c r="AM90" s="4"/>
      <c r="AO90" s="4"/>
      <c r="BA90" s="2"/>
      <c r="BB90" s="2"/>
      <c r="BD90" s="4"/>
      <c r="BF90" s="4"/>
      <c r="BM90" s="2"/>
      <c r="BO90" s="4"/>
      <c r="BQ90" s="4"/>
      <c r="CI90" s="2"/>
      <c r="CJ90" s="2"/>
      <c r="CN90" s="2"/>
      <c r="CP90" s="3"/>
      <c r="CQ90" s="2"/>
      <c r="CV90" s="4"/>
      <c r="CX90" s="4"/>
      <c r="DB90" s="2"/>
      <c r="DC90" s="2"/>
      <c r="DE90" s="2"/>
      <c r="DF90" s="2"/>
      <c r="DV90" s="2"/>
      <c r="DW90" s="2"/>
      <c r="DY90" s="3"/>
      <c r="EF90" s="4"/>
      <c r="EH90" s="4"/>
      <c r="ER90" s="2"/>
      <c r="ES90" s="2"/>
      <c r="EZ90" s="4"/>
      <c r="FQ90" s="4"/>
      <c r="FS90" s="4"/>
      <c r="GD90" s="3"/>
      <c r="GE90" s="2"/>
      <c r="GJ90" s="4"/>
      <c r="GL90" s="4"/>
      <c r="GR90" s="2"/>
      <c r="GS90" s="3"/>
      <c r="GV90" s="2"/>
      <c r="GY90" s="3"/>
      <c r="HB90" s="3"/>
      <c r="HP90" s="2"/>
      <c r="HS90" s="4"/>
      <c r="HU90" s="4"/>
      <c r="II90" s="4"/>
      <c r="IK90" s="4"/>
      <c r="IS90" s="2"/>
      <c r="IT90" s="2"/>
      <c r="IV90" s="2"/>
      <c r="IW90" s="4"/>
      <c r="IY90" s="4"/>
      <c r="JH90" s="2"/>
      <c r="JK90" s="4"/>
      <c r="JM90" s="4"/>
      <c r="JZ90" s="2"/>
      <c r="KD90" s="4"/>
      <c r="KF90" s="4"/>
      <c r="KJ90" s="4"/>
      <c r="KT90" s="2"/>
      <c r="KU90" s="2"/>
      <c r="KW90" s="2"/>
      <c r="LC90" s="2"/>
      <c r="LF90" s="2"/>
      <c r="LK90" s="2"/>
      <c r="LT90" s="4"/>
      <c r="LV90" s="4"/>
      <c r="MC90" s="3"/>
      <c r="MF90" s="3"/>
      <c r="NB90" s="2"/>
      <c r="NC90" s="2"/>
      <c r="NJ90" s="2"/>
      <c r="NN90" s="2"/>
      <c r="NO90" s="2"/>
      <c r="NT90" s="4"/>
      <c r="NV90" s="4"/>
      <c r="OB90" s="2"/>
      <c r="ON90" s="2"/>
      <c r="OR90" s="4"/>
      <c r="OT90" s="4"/>
      <c r="PD90" s="2"/>
      <c r="PH90" s="2"/>
      <c r="PQ90" s="2"/>
      <c r="PX90" s="2"/>
      <c r="PZ90" s="2"/>
      <c r="QF90" s="4"/>
      <c r="QH90" s="4"/>
      <c r="QZ90" s="2"/>
      <c r="RA90" s="2"/>
      <c r="RN90" s="4"/>
      <c r="RO90" s="4"/>
      <c r="RR90" s="2"/>
      <c r="RT90" s="2"/>
      <c r="RU90" s="2"/>
      <c r="SA90" s="4"/>
      <c r="SC90" s="4"/>
      <c r="SN90" s="2"/>
      <c r="SQ90" s="4"/>
      <c r="SS90" s="4"/>
      <c r="TG90" s="2"/>
      <c r="TH90" s="2"/>
      <c r="TI90" s="2"/>
      <c r="TU90" s="4"/>
      <c r="TW90" s="4"/>
    </row>
    <row r="91" spans="1:543">
      <c r="A91">
        <v>861</v>
      </c>
      <c r="B91">
        <v>2174</v>
      </c>
      <c r="C91" s="3" t="s">
        <v>484</v>
      </c>
      <c r="D91" t="s">
        <v>421</v>
      </c>
      <c r="E91" t="s">
        <v>485</v>
      </c>
      <c r="F91" t="s">
        <v>486</v>
      </c>
      <c r="G91" s="2">
        <v>40339</v>
      </c>
      <c r="H91" t="s">
        <v>43</v>
      </c>
      <c r="I91" t="s">
        <v>137</v>
      </c>
      <c r="J91" t="s">
        <v>61</v>
      </c>
      <c r="K91" t="s">
        <v>487</v>
      </c>
      <c r="L91" t="s">
        <v>77</v>
      </c>
      <c r="M91" s="2">
        <v>44384</v>
      </c>
      <c r="N91" t="s">
        <v>488</v>
      </c>
      <c r="O91" s="2">
        <f>DATE(YEAR(G91) + P91, MONTH(G91), DAY(G91))</f>
        <v>62254</v>
      </c>
      <c r="P91">
        <v>60</v>
      </c>
      <c r="Q91" s="2"/>
      <c r="R91" t="s">
        <v>47</v>
      </c>
      <c r="S91" t="s">
        <v>102</v>
      </c>
      <c r="T91" s="2">
        <v>44560</v>
      </c>
      <c r="U91" t="s">
        <v>65</v>
      </c>
      <c r="V91" t="s">
        <v>39</v>
      </c>
      <c r="W91">
        <v>15</v>
      </c>
      <c r="X91" s="1">
        <v>82109</v>
      </c>
      <c r="Y91" s="1">
        <f t="shared" si="5"/>
        <v>20527.25</v>
      </c>
      <c r="Z91" s="1">
        <f t="shared" si="4"/>
        <v>61581.75</v>
      </c>
      <c r="AA91" s="3">
        <v>814</v>
      </c>
      <c r="AK91" s="3"/>
      <c r="AM91" s="4"/>
      <c r="AO91" s="4"/>
      <c r="BA91" s="2"/>
      <c r="BB91" s="2"/>
      <c r="BD91" s="4"/>
      <c r="BF91" s="4"/>
      <c r="BM91" s="2"/>
      <c r="BO91" s="4"/>
      <c r="BQ91" s="4"/>
      <c r="CI91" s="2"/>
      <c r="CJ91" s="2"/>
      <c r="CP91" s="3"/>
      <c r="CQ91" s="2"/>
      <c r="CV91" s="4"/>
      <c r="CX91" s="4"/>
      <c r="DB91" s="2"/>
      <c r="DC91" s="2"/>
      <c r="DE91" s="2"/>
      <c r="DF91" s="2"/>
      <c r="DV91" s="2"/>
      <c r="DW91" s="2"/>
      <c r="EF91" s="4"/>
      <c r="EH91" s="4"/>
      <c r="ES91" s="2"/>
      <c r="EX91" s="4"/>
      <c r="EZ91" s="4"/>
      <c r="FQ91" s="4"/>
      <c r="FS91" s="4"/>
      <c r="GE91" s="2"/>
      <c r="GJ91" s="4"/>
      <c r="GL91" s="4"/>
      <c r="GR91" s="2"/>
      <c r="GS91" s="3"/>
      <c r="GT91" s="3"/>
      <c r="GV91" s="2"/>
      <c r="GW91" s="3"/>
      <c r="GX91" s="3"/>
      <c r="HB91" s="3"/>
      <c r="HP91" s="2"/>
      <c r="HS91" s="4"/>
      <c r="HU91" s="4"/>
      <c r="II91" s="4"/>
      <c r="IK91" s="4"/>
      <c r="IT91" s="2"/>
      <c r="IV91" s="2"/>
      <c r="IW91" s="4"/>
      <c r="IY91" s="4"/>
      <c r="JH91" s="2"/>
      <c r="JK91" s="4"/>
      <c r="JM91" s="4"/>
      <c r="JZ91" s="2"/>
      <c r="KA91" s="3"/>
      <c r="KD91" s="4"/>
      <c r="KF91" s="4"/>
      <c r="KJ91" s="4"/>
      <c r="KT91" s="2"/>
      <c r="KU91" s="2"/>
      <c r="KW91" s="2"/>
      <c r="LC91" s="2"/>
      <c r="LF91" s="2"/>
      <c r="LK91" s="2"/>
      <c r="LT91" s="4"/>
      <c r="ME91" s="3"/>
      <c r="ML91" s="3"/>
      <c r="NB91" s="2"/>
      <c r="NG91" s="5"/>
      <c r="NJ91" s="2"/>
      <c r="NN91" s="2"/>
      <c r="NO91" s="2"/>
      <c r="NT91" s="4"/>
      <c r="NV91" s="4"/>
      <c r="OB91" s="2"/>
      <c r="OJ91" s="3"/>
      <c r="ON91" s="2"/>
      <c r="OR91" s="4"/>
      <c r="OT91" s="4"/>
      <c r="PD91" s="2"/>
      <c r="PH91" s="2"/>
      <c r="PQ91" s="2"/>
      <c r="PX91" s="2"/>
      <c r="PZ91" s="2"/>
      <c r="QF91" s="4"/>
      <c r="QH91" s="4"/>
      <c r="RA91" s="2"/>
      <c r="RN91" s="4"/>
      <c r="RO91" s="4"/>
      <c r="RR91" s="2"/>
      <c r="RT91" s="2"/>
      <c r="RU91" s="2"/>
      <c r="SA91" s="4"/>
      <c r="SC91" s="4"/>
      <c r="SN91" s="2"/>
      <c r="SQ91" s="4"/>
      <c r="SS91" s="4"/>
      <c r="TG91" s="2"/>
      <c r="TH91" s="2"/>
      <c r="TU91" s="4"/>
      <c r="TW91" s="4"/>
    </row>
    <row r="92" spans="1:543">
      <c r="A92">
        <v>1971</v>
      </c>
      <c r="B92">
        <v>1091</v>
      </c>
      <c r="C92">
        <v>3201478159</v>
      </c>
      <c r="D92" t="s">
        <v>72</v>
      </c>
      <c r="E92" t="s">
        <v>489</v>
      </c>
      <c r="F92" t="s">
        <v>490</v>
      </c>
      <c r="G92" s="2">
        <v>35719</v>
      </c>
      <c r="H92" t="s">
        <v>43</v>
      </c>
      <c r="I92" t="s">
        <v>44</v>
      </c>
      <c r="J92" t="s">
        <v>61</v>
      </c>
      <c r="K92" t="s">
        <v>491</v>
      </c>
      <c r="L92" t="s">
        <v>95</v>
      </c>
      <c r="M92" s="2">
        <v>43983</v>
      </c>
      <c r="N92" t="s">
        <v>492</v>
      </c>
      <c r="O92" s="2">
        <f>DATE(YEAR(G92) + P92, MONTH(G92), DAY(G92))</f>
        <v>57999</v>
      </c>
      <c r="P92">
        <v>61</v>
      </c>
      <c r="Q92" s="2"/>
      <c r="R92" t="s">
        <v>47</v>
      </c>
      <c r="S92" t="s">
        <v>102</v>
      </c>
      <c r="T92" s="2">
        <v>37595</v>
      </c>
      <c r="U92" t="s">
        <v>133</v>
      </c>
      <c r="V92" t="s">
        <v>56</v>
      </c>
      <c r="W92">
        <v>1</v>
      </c>
      <c r="X92" s="1">
        <v>60431</v>
      </c>
      <c r="Y92" s="1">
        <f t="shared" si="5"/>
        <v>15107.75</v>
      </c>
      <c r="Z92" s="1">
        <f t="shared" ref="Z92:Z101" si="6">X92-Y92</f>
        <v>45323.25</v>
      </c>
      <c r="AA92" s="3">
        <v>745</v>
      </c>
      <c r="AK92" s="3"/>
      <c r="AM92" s="4"/>
      <c r="AO92" s="4"/>
      <c r="BA92" s="2"/>
      <c r="BB92" s="2"/>
      <c r="BD92" s="4"/>
      <c r="BF92" s="4"/>
      <c r="BM92" s="2"/>
      <c r="BO92" s="4"/>
      <c r="BQ92" s="4"/>
      <c r="CI92" s="2"/>
      <c r="CJ92" s="2"/>
      <c r="CN92" s="2"/>
      <c r="CQ92" s="2"/>
      <c r="CV92" s="4"/>
      <c r="CX92" s="4"/>
      <c r="DB92" s="2"/>
      <c r="DC92" s="2"/>
      <c r="DE92" s="2"/>
      <c r="DF92" s="2"/>
      <c r="DV92" s="2"/>
      <c r="DW92" s="2"/>
      <c r="EF92" s="4"/>
      <c r="EH92" s="4"/>
      <c r="ES92" s="2"/>
      <c r="EX92" s="4"/>
      <c r="EZ92" s="4"/>
      <c r="FQ92" s="4"/>
      <c r="FS92" s="4"/>
      <c r="GE92" s="2"/>
      <c r="GJ92" s="4"/>
      <c r="GL92" s="4"/>
      <c r="GR92" s="2"/>
      <c r="GV92" s="2"/>
      <c r="GW92" s="3"/>
      <c r="GX92" s="3"/>
      <c r="GY92" s="3"/>
      <c r="HB92" s="3"/>
      <c r="HP92" s="2"/>
      <c r="HS92" s="4"/>
      <c r="HU92" s="4"/>
      <c r="IK92" s="4"/>
      <c r="IS92" s="2"/>
      <c r="IT92" s="2"/>
      <c r="IV92" s="2"/>
      <c r="IW92" s="4"/>
      <c r="IY92" s="4"/>
      <c r="JH92" s="2"/>
      <c r="JM92" s="4"/>
      <c r="JZ92" s="2"/>
      <c r="KD92" s="4"/>
      <c r="KF92" s="4"/>
      <c r="KJ92" s="4"/>
      <c r="KT92" s="2"/>
      <c r="KU92" s="2"/>
      <c r="KW92" s="2"/>
      <c r="LC92" s="2"/>
      <c r="LF92" s="2"/>
      <c r="LK92" s="2"/>
      <c r="LT92" s="4"/>
      <c r="LV92" s="4"/>
      <c r="MA92" s="3"/>
      <c r="ME92" s="3"/>
      <c r="MG92" s="3"/>
      <c r="NC92" s="2"/>
      <c r="NH92" s="3"/>
      <c r="NJ92" s="2"/>
      <c r="NN92" s="2"/>
      <c r="NO92" s="2"/>
      <c r="NT92" s="4"/>
      <c r="NV92" s="4"/>
      <c r="OA92" s="2"/>
      <c r="OB92" s="2"/>
      <c r="ON92" s="2"/>
      <c r="OR92" s="4"/>
      <c r="OT92" s="4"/>
      <c r="PD92" s="2"/>
      <c r="PX92" s="2"/>
      <c r="PZ92" s="2"/>
      <c r="QF92" s="4"/>
      <c r="QH92" s="4"/>
      <c r="QZ92" s="2"/>
      <c r="RN92" s="4"/>
      <c r="RO92" s="4"/>
      <c r="RR92" s="2"/>
      <c r="RT92" s="2"/>
      <c r="RU92" s="2"/>
      <c r="SA92" s="4"/>
      <c r="SC92" s="4"/>
      <c r="SN92" s="2"/>
      <c r="SS92" s="4"/>
      <c r="TG92" s="2"/>
      <c r="TH92" s="2"/>
      <c r="TI92" s="2"/>
      <c r="TN92" s="3"/>
      <c r="TU92" s="4"/>
      <c r="TW92" s="4"/>
    </row>
    <row r="93" spans="1:543">
      <c r="A93">
        <v>8874</v>
      </c>
      <c r="B93">
        <v>1587</v>
      </c>
      <c r="C93">
        <v>4030864166</v>
      </c>
      <c r="D93" t="s">
        <v>104</v>
      </c>
      <c r="E93" t="s">
        <v>493</v>
      </c>
      <c r="F93" t="s">
        <v>494</v>
      </c>
      <c r="G93" s="2">
        <v>39970</v>
      </c>
      <c r="H93" t="s">
        <v>43</v>
      </c>
      <c r="I93" t="s">
        <v>31</v>
      </c>
      <c r="J93" t="s">
        <v>61</v>
      </c>
      <c r="K93" t="s">
        <v>495</v>
      </c>
      <c r="L93" t="s">
        <v>95</v>
      </c>
      <c r="M93" s="2">
        <v>39307</v>
      </c>
      <c r="N93" t="s">
        <v>496</v>
      </c>
      <c r="O93" s="2">
        <f>DATE(YEAR(G93) + P93, MONTH(G93), DAY(G93))</f>
        <v>64807</v>
      </c>
      <c r="P93">
        <v>68</v>
      </c>
      <c r="Q93" s="2"/>
      <c r="R93" t="s">
        <v>47</v>
      </c>
      <c r="S93" t="s">
        <v>64</v>
      </c>
      <c r="T93" s="2">
        <v>23292</v>
      </c>
      <c r="U93" t="s">
        <v>65</v>
      </c>
      <c r="V93" t="s">
        <v>38</v>
      </c>
      <c r="W93">
        <v>13</v>
      </c>
      <c r="X93" s="1">
        <v>60320</v>
      </c>
      <c r="Y93" s="1">
        <f t="shared" si="5"/>
        <v>15080</v>
      </c>
      <c r="Z93" s="1">
        <f t="shared" si="6"/>
        <v>45240</v>
      </c>
      <c r="AA93" s="3">
        <v>800</v>
      </c>
      <c r="AK93" s="3"/>
      <c r="AO93" s="4"/>
      <c r="BA93" s="2"/>
      <c r="BB93" s="2"/>
      <c r="BD93" s="4"/>
      <c r="BF93" s="4"/>
      <c r="BM93" s="2"/>
      <c r="BO93" s="4"/>
      <c r="BQ93" s="4"/>
      <c r="CI93" s="2"/>
      <c r="CJ93" s="2"/>
      <c r="CM93" s="3"/>
      <c r="CN93" s="2"/>
      <c r="CP93" s="3"/>
      <c r="CQ93" s="2"/>
      <c r="CV93" s="4"/>
      <c r="CX93" s="4"/>
      <c r="DA93" s="3"/>
      <c r="DB93" s="2"/>
      <c r="DC93" s="2"/>
      <c r="DE93" s="2"/>
      <c r="DF93" s="2"/>
      <c r="DV93" s="2"/>
      <c r="DW93" s="2"/>
      <c r="DY93" s="3"/>
      <c r="EF93" s="4"/>
      <c r="ER93" s="2"/>
      <c r="ES93" s="2"/>
      <c r="EV93" s="3"/>
      <c r="EX93" s="4"/>
      <c r="EZ93" s="4"/>
      <c r="FQ93" s="4"/>
      <c r="FS93" s="4"/>
      <c r="GE93" s="2"/>
      <c r="GJ93" s="4"/>
      <c r="GL93" s="4"/>
      <c r="GS93" s="3"/>
      <c r="GV93" s="2"/>
      <c r="GW93" s="3"/>
      <c r="GY93" s="3"/>
      <c r="HB93" s="3"/>
      <c r="HP93" s="2"/>
      <c r="HS93" s="4"/>
      <c r="HU93" s="4"/>
      <c r="II93" s="4"/>
      <c r="IS93" s="2"/>
      <c r="IT93" s="2"/>
      <c r="IV93" s="2"/>
      <c r="JH93" s="2"/>
      <c r="JK93" s="4"/>
      <c r="JM93" s="4"/>
      <c r="JZ93" s="2"/>
      <c r="KA93" s="3"/>
      <c r="KD93" s="4"/>
      <c r="KF93" s="4"/>
      <c r="KJ93" s="4"/>
      <c r="KT93" s="2"/>
      <c r="KU93" s="2"/>
      <c r="KW93" s="2"/>
      <c r="LC93" s="2"/>
      <c r="LF93" s="2"/>
      <c r="LK93" s="2"/>
      <c r="LT93" s="4"/>
      <c r="LV93" s="4"/>
      <c r="ME93" s="3"/>
      <c r="NC93" s="2"/>
      <c r="NJ93" s="2"/>
      <c r="NN93" s="2"/>
      <c r="NO93" s="2"/>
      <c r="NP93" s="3"/>
      <c r="NT93" s="4"/>
      <c r="NV93" s="4"/>
      <c r="OA93" s="2"/>
      <c r="OB93" s="2"/>
      <c r="ON93" s="2"/>
      <c r="OT93" s="4"/>
      <c r="PD93" s="2"/>
      <c r="PH93" s="2"/>
      <c r="PQ93" s="2"/>
      <c r="PX93" s="2"/>
      <c r="PZ93" s="2"/>
      <c r="QF93" s="4"/>
      <c r="QH93" s="4"/>
      <c r="QZ93" s="2"/>
      <c r="RA93" s="2"/>
      <c r="RN93" s="4"/>
      <c r="RO93" s="4"/>
      <c r="RR93" s="2"/>
      <c r="RT93" s="2"/>
      <c r="RU93" s="2"/>
      <c r="SA93" s="4"/>
      <c r="SC93" s="4"/>
      <c r="SN93" s="2"/>
      <c r="SQ93" s="4"/>
      <c r="SS93" s="4"/>
      <c r="TG93" s="2"/>
      <c r="TH93" s="2"/>
      <c r="TI93" s="2"/>
      <c r="TU93" s="4"/>
      <c r="TW93" s="4"/>
    </row>
    <row r="94" spans="1:543">
      <c r="A94">
        <v>7047</v>
      </c>
      <c r="B94">
        <v>6351</v>
      </c>
      <c r="C94">
        <v>7039602483</v>
      </c>
      <c r="D94" t="s">
        <v>172</v>
      </c>
      <c r="E94" t="s">
        <v>497</v>
      </c>
      <c r="F94" t="s">
        <v>498</v>
      </c>
      <c r="G94" s="2">
        <v>37597</v>
      </c>
      <c r="H94" t="s">
        <v>43</v>
      </c>
      <c r="I94" t="s">
        <v>143</v>
      </c>
      <c r="J94" t="s">
        <v>61</v>
      </c>
      <c r="K94" t="s">
        <v>499</v>
      </c>
      <c r="L94" t="s">
        <v>34</v>
      </c>
      <c r="M94" s="2">
        <v>44681</v>
      </c>
      <c r="N94" t="s">
        <v>500</v>
      </c>
      <c r="O94" s="2">
        <f>DATE(YEAR(G94) + P94, MONTH(G94), DAY(G94))</f>
        <v>61704</v>
      </c>
      <c r="P94">
        <v>66</v>
      </c>
      <c r="Q94" s="2"/>
      <c r="R94" t="s">
        <v>47</v>
      </c>
      <c r="S94" t="s">
        <v>48</v>
      </c>
      <c r="T94" s="2">
        <v>38356</v>
      </c>
      <c r="U94" t="s">
        <v>49</v>
      </c>
      <c r="V94" t="s">
        <v>39</v>
      </c>
      <c r="W94">
        <v>3</v>
      </c>
      <c r="X94" s="1">
        <v>20477</v>
      </c>
      <c r="Y94" s="1">
        <f t="shared" si="5"/>
        <v>5119.25</v>
      </c>
      <c r="Z94" s="1">
        <f t="shared" si="6"/>
        <v>15357.75</v>
      </c>
      <c r="AA94" s="3">
        <v>144</v>
      </c>
      <c r="AK94" s="3"/>
      <c r="AM94" s="4"/>
      <c r="AO94" s="4"/>
      <c r="BA94" s="2"/>
      <c r="BB94" s="2"/>
      <c r="BD94" s="4"/>
      <c r="BM94" s="2"/>
      <c r="BO94" s="4"/>
      <c r="BQ94" s="4"/>
      <c r="CI94" s="2"/>
      <c r="CJ94" s="2"/>
      <c r="CQ94" s="2"/>
      <c r="CV94" s="4"/>
      <c r="CX94" s="4"/>
      <c r="DB94" s="2"/>
      <c r="DC94" s="2"/>
      <c r="DD94" s="3"/>
      <c r="DE94" s="2"/>
      <c r="DF94" s="2"/>
      <c r="DG94" s="3"/>
      <c r="DV94" s="2"/>
      <c r="DW94" s="2"/>
      <c r="EF94" s="4"/>
      <c r="EH94" s="4"/>
      <c r="ER94" s="2"/>
      <c r="ES94" s="2"/>
      <c r="EV94" s="3"/>
      <c r="EX94" s="4"/>
      <c r="EZ94" s="4"/>
      <c r="FQ94" s="4"/>
      <c r="FS94" s="4"/>
      <c r="GJ94" s="4"/>
      <c r="GL94" s="4"/>
      <c r="GR94" s="2"/>
      <c r="GU94" s="3"/>
      <c r="GV94" s="2"/>
      <c r="GX94" s="3"/>
      <c r="HB94" s="3"/>
      <c r="HN94" s="3"/>
      <c r="HP94" s="2"/>
      <c r="HS94" s="4"/>
      <c r="HU94" s="4"/>
      <c r="II94" s="4"/>
      <c r="IK94" s="4"/>
      <c r="IS94" s="2"/>
      <c r="IT94" s="2"/>
      <c r="IW94" s="4"/>
      <c r="IY94" s="4"/>
      <c r="JH94" s="2"/>
      <c r="JK94" s="4"/>
      <c r="JM94" s="4"/>
      <c r="JZ94" s="2"/>
      <c r="KF94" s="4"/>
      <c r="KJ94" s="4"/>
      <c r="KT94" s="2"/>
      <c r="KU94" s="2"/>
      <c r="KW94" s="2"/>
      <c r="LC94" s="2"/>
      <c r="LF94" s="2"/>
      <c r="LK94" s="2"/>
      <c r="LM94" s="3"/>
      <c r="LT94" s="4"/>
      <c r="LV94" s="4"/>
      <c r="NB94" s="2"/>
      <c r="NC94" s="2"/>
      <c r="NG94" s="5"/>
      <c r="NJ94" s="2"/>
      <c r="NN94" s="2"/>
      <c r="NO94" s="2"/>
      <c r="NT94" s="4"/>
      <c r="NV94" s="4"/>
      <c r="OA94" s="2"/>
      <c r="OB94" s="2"/>
      <c r="OJ94" s="3"/>
      <c r="OR94" s="4"/>
      <c r="OT94" s="4"/>
      <c r="PD94" s="2"/>
      <c r="PH94" s="2"/>
      <c r="PP94" s="3"/>
      <c r="PQ94" s="2"/>
      <c r="PX94" s="2"/>
      <c r="PZ94" s="2"/>
      <c r="QF94" s="4"/>
      <c r="QH94" s="4"/>
      <c r="QZ94" s="2"/>
      <c r="RA94" s="2"/>
      <c r="RN94" s="4"/>
      <c r="RO94" s="4"/>
      <c r="RR94" s="2"/>
      <c r="RT94" s="2"/>
      <c r="RU94" s="2"/>
      <c r="SA94" s="4"/>
      <c r="SC94" s="4"/>
      <c r="SN94" s="2"/>
      <c r="SQ94" s="4"/>
      <c r="SS94" s="4"/>
      <c r="TG94" s="2"/>
      <c r="TH94" s="2"/>
      <c r="TI94" s="2"/>
      <c r="TU94" s="4"/>
      <c r="TW94" s="4"/>
    </row>
    <row r="95" spans="1:543">
      <c r="A95">
        <v>5483</v>
      </c>
      <c r="B95">
        <v>1626</v>
      </c>
      <c r="C95">
        <v>1103031521</v>
      </c>
      <c r="D95" t="s">
        <v>27</v>
      </c>
      <c r="E95" t="s">
        <v>501</v>
      </c>
      <c r="F95" t="s">
        <v>502</v>
      </c>
      <c r="G95" s="2">
        <v>37587</v>
      </c>
      <c r="H95" t="s">
        <v>30</v>
      </c>
      <c r="I95" t="s">
        <v>53</v>
      </c>
      <c r="J95" t="s">
        <v>32</v>
      </c>
      <c r="K95" t="s">
        <v>503</v>
      </c>
      <c r="L95" t="s">
        <v>95</v>
      </c>
      <c r="M95" s="2"/>
      <c r="N95" t="s">
        <v>504</v>
      </c>
      <c r="O95" s="2">
        <f>DATE(YEAR(G95) + P95, MONTH(G95), DAY(G95))</f>
        <v>62424</v>
      </c>
      <c r="P95">
        <v>68</v>
      </c>
      <c r="Q95" s="2">
        <v>32785</v>
      </c>
      <c r="R95" t="s">
        <v>36</v>
      </c>
      <c r="S95" t="s">
        <v>109</v>
      </c>
      <c r="T95" s="2">
        <v>39416</v>
      </c>
      <c r="U95" t="s">
        <v>103</v>
      </c>
      <c r="V95" t="s">
        <v>66</v>
      </c>
      <c r="W95">
        <v>11</v>
      </c>
      <c r="X95" s="1">
        <v>93598</v>
      </c>
      <c r="Y95" s="1">
        <f t="shared" si="5"/>
        <v>23399.5</v>
      </c>
      <c r="Z95" s="1">
        <f t="shared" si="6"/>
        <v>70198.5</v>
      </c>
      <c r="AA95" s="3">
        <v>907</v>
      </c>
      <c r="AB95" s="3"/>
      <c r="AK95" s="3"/>
      <c r="AM95" s="4"/>
      <c r="BA95" s="2"/>
      <c r="BB95" s="2"/>
      <c r="BD95" s="4"/>
      <c r="BF95" s="4"/>
      <c r="BM95" s="2"/>
      <c r="BO95" s="4"/>
      <c r="BQ95" s="4"/>
      <c r="CI95" s="2"/>
      <c r="CJ95" s="2"/>
      <c r="CN95" s="2"/>
      <c r="CQ95" s="2"/>
      <c r="CV95" s="4"/>
      <c r="CX95" s="4"/>
      <c r="DC95" s="2"/>
      <c r="DE95" s="2"/>
      <c r="DF95" s="2"/>
      <c r="DV95" s="2"/>
      <c r="DW95" s="2"/>
      <c r="EF95" s="4"/>
      <c r="EH95" s="4"/>
      <c r="ER95" s="2"/>
      <c r="ES95" s="2"/>
      <c r="EZ95" s="4"/>
      <c r="FQ95" s="4"/>
      <c r="FS95" s="4"/>
      <c r="GE95" s="2"/>
      <c r="GJ95" s="4"/>
      <c r="GL95" s="4"/>
      <c r="GR95" s="2"/>
      <c r="GS95" s="3"/>
      <c r="GT95" s="3"/>
      <c r="GU95" s="3"/>
      <c r="GV95" s="2"/>
      <c r="HB95" s="3"/>
      <c r="HP95" s="2"/>
      <c r="HS95" s="4"/>
      <c r="HU95" s="4"/>
      <c r="II95" s="4"/>
      <c r="IK95" s="4"/>
      <c r="IS95" s="2"/>
      <c r="IT95" s="2"/>
      <c r="IV95" s="2"/>
      <c r="IW95" s="4"/>
      <c r="IY95" s="4"/>
      <c r="JH95" s="2"/>
      <c r="JK95" s="4"/>
      <c r="JM95" s="4"/>
      <c r="KA95" s="3"/>
      <c r="KD95" s="4"/>
      <c r="KF95" s="4"/>
      <c r="KI95" s="3"/>
      <c r="KT95" s="2"/>
      <c r="KU95" s="2"/>
      <c r="KW95" s="2"/>
      <c r="LC95" s="2"/>
      <c r="LF95" s="2"/>
      <c r="LK95" s="2"/>
      <c r="LM95" s="3"/>
      <c r="LT95" s="4"/>
      <c r="MN95" s="5"/>
      <c r="NB95" s="2"/>
      <c r="NC95" s="2"/>
      <c r="NJ95" s="2"/>
      <c r="NM95" s="3"/>
      <c r="NN95" s="2"/>
      <c r="NO95" s="2"/>
      <c r="NT95" s="4"/>
      <c r="NV95" s="4"/>
      <c r="OA95" s="2"/>
      <c r="OB95" s="2"/>
      <c r="OR95" s="4"/>
      <c r="OT95" s="4"/>
      <c r="PD95" s="2"/>
      <c r="PH95" s="2"/>
      <c r="PX95" s="2"/>
      <c r="QF95" s="4"/>
      <c r="QH95" s="4"/>
      <c r="QX95" s="3"/>
      <c r="QZ95" s="2"/>
      <c r="RA95" s="2"/>
      <c r="RN95" s="4"/>
      <c r="RR95" s="2"/>
      <c r="RT95" s="2"/>
      <c r="RU95" s="2"/>
      <c r="SC95" s="4"/>
      <c r="SN95" s="2"/>
      <c r="SQ95" s="4"/>
      <c r="SS95" s="4"/>
      <c r="TG95" s="2"/>
      <c r="TH95" s="2"/>
      <c r="TI95" s="2"/>
      <c r="TU95" s="4"/>
      <c r="TW95" s="4"/>
    </row>
    <row r="96" spans="1:543">
      <c r="A96">
        <v>3607</v>
      </c>
      <c r="B96">
        <v>2902</v>
      </c>
      <c r="C96">
        <v>8282072874</v>
      </c>
      <c r="D96" t="s">
        <v>110</v>
      </c>
      <c r="E96" t="s">
        <v>505</v>
      </c>
      <c r="F96" t="s">
        <v>506</v>
      </c>
      <c r="G96" s="2">
        <v>37560</v>
      </c>
      <c r="H96" t="s">
        <v>30</v>
      </c>
      <c r="I96" t="s">
        <v>260</v>
      </c>
      <c r="J96" t="s">
        <v>32</v>
      </c>
      <c r="K96" t="s">
        <v>507</v>
      </c>
      <c r="L96" t="s">
        <v>95</v>
      </c>
      <c r="M96" s="2"/>
      <c r="N96" t="s">
        <v>508</v>
      </c>
      <c r="O96" s="2">
        <f>DATE(YEAR(G96) + P96, MONTH(G96), DAY(G96))</f>
        <v>63128</v>
      </c>
      <c r="P96">
        <v>70</v>
      </c>
      <c r="Q96" s="2">
        <v>23290</v>
      </c>
      <c r="R96" t="s">
        <v>47</v>
      </c>
      <c r="S96" t="s">
        <v>181</v>
      </c>
      <c r="T96" s="2">
        <v>42520</v>
      </c>
      <c r="U96" t="s">
        <v>133</v>
      </c>
      <c r="V96" t="s">
        <v>39</v>
      </c>
      <c r="W96">
        <v>7</v>
      </c>
      <c r="X96" s="1">
        <v>21227</v>
      </c>
      <c r="Y96" s="1">
        <f t="shared" si="5"/>
        <v>5306.75</v>
      </c>
      <c r="Z96" s="1">
        <f t="shared" si="6"/>
        <v>15920.25</v>
      </c>
      <c r="AA96" s="3">
        <v>459</v>
      </c>
      <c r="AK96" s="3"/>
      <c r="AM96" s="4"/>
      <c r="AO96" s="4"/>
      <c r="BA96" s="2"/>
      <c r="BB96" s="2"/>
      <c r="BD96" s="4"/>
      <c r="BF96" s="4"/>
      <c r="BM96" s="2"/>
      <c r="BO96" s="4"/>
      <c r="BQ96" s="4"/>
      <c r="CG96" s="3"/>
      <c r="CI96" s="2"/>
      <c r="CK96" s="3"/>
      <c r="CN96" s="2"/>
      <c r="CQ96" s="2"/>
      <c r="CV96" s="4"/>
      <c r="CX96" s="4"/>
      <c r="DB96" s="2"/>
      <c r="DC96" s="2"/>
      <c r="DE96" s="2"/>
      <c r="DF96" s="2"/>
      <c r="DV96" s="2"/>
      <c r="DW96" s="2"/>
      <c r="EH96" s="4"/>
      <c r="ES96" s="2"/>
      <c r="EX96" s="4"/>
      <c r="EZ96" s="4"/>
      <c r="FQ96" s="4"/>
      <c r="FS96" s="4"/>
      <c r="GE96" s="2"/>
      <c r="GG96" s="3"/>
      <c r="GJ96" s="4"/>
      <c r="GL96" s="4"/>
      <c r="GR96" s="2"/>
      <c r="GT96" s="3"/>
      <c r="GV96" s="2"/>
      <c r="GY96" s="3"/>
      <c r="HB96" s="3"/>
      <c r="HP96" s="2"/>
      <c r="HS96" s="4"/>
      <c r="HU96" s="4"/>
      <c r="IK96" s="4"/>
      <c r="IS96" s="2"/>
      <c r="IT96" s="2"/>
      <c r="IW96" s="4"/>
      <c r="IY96" s="4"/>
      <c r="JH96" s="2"/>
      <c r="JK96" s="4"/>
      <c r="JM96" s="4"/>
      <c r="KD96" s="4"/>
      <c r="KF96" s="4"/>
      <c r="KJ96" s="4"/>
      <c r="KT96" s="2"/>
      <c r="KU96" s="2"/>
      <c r="KW96" s="2"/>
      <c r="LC96" s="2"/>
      <c r="LF96" s="2"/>
      <c r="LK96" s="2"/>
      <c r="LT96" s="4"/>
      <c r="LV96" s="4"/>
      <c r="NB96" s="2"/>
      <c r="NC96" s="2"/>
      <c r="NJ96" s="2"/>
      <c r="NN96" s="2"/>
      <c r="NO96" s="2"/>
      <c r="NT96" s="4"/>
      <c r="NV96" s="4"/>
      <c r="OA96" s="2"/>
      <c r="OB96" s="2"/>
      <c r="OK96" s="3"/>
      <c r="ON96" s="2"/>
      <c r="OR96" s="4"/>
      <c r="OT96" s="4"/>
      <c r="PD96" s="2"/>
      <c r="PH96" s="2"/>
      <c r="PI96" s="3"/>
      <c r="PQ96" s="2"/>
      <c r="PX96" s="2"/>
      <c r="PZ96" s="2"/>
      <c r="QF96" s="4"/>
      <c r="QH96" s="4"/>
      <c r="QZ96" s="2"/>
      <c r="RO96" s="4"/>
      <c r="RR96" s="2"/>
      <c r="RT96" s="2"/>
      <c r="SA96" s="4"/>
      <c r="SC96" s="4"/>
      <c r="SN96" s="2"/>
      <c r="SQ96" s="4"/>
      <c r="SS96" s="4"/>
      <c r="TG96" s="2"/>
      <c r="TH96" s="2"/>
      <c r="TI96" s="2"/>
      <c r="TU96" s="4"/>
      <c r="TW96" s="4"/>
    </row>
    <row r="97" spans="1:543">
      <c r="A97">
        <v>2611</v>
      </c>
      <c r="B97">
        <v>2143</v>
      </c>
      <c r="C97">
        <v>5773862476</v>
      </c>
      <c r="D97" t="s">
        <v>287</v>
      </c>
      <c r="E97" t="s">
        <v>509</v>
      </c>
      <c r="F97" t="s">
        <v>510</v>
      </c>
      <c r="G97" s="2">
        <v>40274</v>
      </c>
      <c r="H97" t="s">
        <v>43</v>
      </c>
      <c r="I97" t="s">
        <v>60</v>
      </c>
      <c r="J97" t="s">
        <v>32</v>
      </c>
      <c r="K97" t="s">
        <v>511</v>
      </c>
      <c r="L97" t="s">
        <v>77</v>
      </c>
      <c r="M97" s="2"/>
      <c r="N97" t="s">
        <v>512</v>
      </c>
      <c r="O97" s="2">
        <f>DATE(YEAR(G97) + P97, MONTH(G97), DAY(G97))</f>
        <v>64746</v>
      </c>
      <c r="P97">
        <v>67</v>
      </c>
      <c r="Q97" s="2"/>
      <c r="R97" t="s">
        <v>47</v>
      </c>
      <c r="S97" t="s">
        <v>102</v>
      </c>
      <c r="T97" s="2">
        <v>36677</v>
      </c>
      <c r="U97" t="s">
        <v>65</v>
      </c>
      <c r="V97" t="s">
        <v>56</v>
      </c>
      <c r="W97">
        <v>22</v>
      </c>
      <c r="X97" s="1">
        <v>50799</v>
      </c>
      <c r="Y97" s="1">
        <f t="shared" si="5"/>
        <v>12699.75</v>
      </c>
      <c r="Z97" s="1">
        <f t="shared" si="6"/>
        <v>38099.25</v>
      </c>
      <c r="AA97" s="3">
        <v>380</v>
      </c>
      <c r="AB97" s="3"/>
      <c r="AK97" s="3"/>
      <c r="AM97" s="4"/>
      <c r="AO97" s="4"/>
      <c r="BA97" s="2"/>
      <c r="BB97" s="2"/>
      <c r="BD97" s="4"/>
      <c r="BF97" s="4"/>
      <c r="BM97" s="2"/>
      <c r="BO97" s="4"/>
      <c r="BQ97" s="4"/>
      <c r="CI97" s="2"/>
      <c r="CJ97" s="2"/>
      <c r="CK97" s="3"/>
      <c r="CN97" s="2"/>
      <c r="CQ97" s="2"/>
      <c r="CV97" s="4"/>
      <c r="CX97" s="4"/>
      <c r="DB97" s="2"/>
      <c r="DC97" s="2"/>
      <c r="DE97" s="2"/>
      <c r="DV97" s="2"/>
      <c r="EF97" s="4"/>
      <c r="EH97" s="4"/>
      <c r="ER97" s="2"/>
      <c r="ES97" s="2"/>
      <c r="EX97" s="4"/>
      <c r="EZ97" s="4"/>
      <c r="FQ97" s="4"/>
      <c r="GE97" s="2"/>
      <c r="GJ97" s="4"/>
      <c r="GL97" s="4"/>
      <c r="GR97" s="2"/>
      <c r="GS97" s="3"/>
      <c r="GU97" s="3"/>
      <c r="GV97" s="2"/>
      <c r="GX97" s="3"/>
      <c r="GY97" s="3"/>
      <c r="HB97" s="3"/>
      <c r="HP97" s="2"/>
      <c r="II97" s="4"/>
      <c r="IK97" s="4"/>
      <c r="IS97" s="2"/>
      <c r="IT97" s="2"/>
      <c r="IW97" s="4"/>
      <c r="IY97" s="4"/>
      <c r="JH97" s="2"/>
      <c r="JK97" s="4"/>
      <c r="JM97" s="4"/>
      <c r="JZ97" s="2"/>
      <c r="KC97" s="3"/>
      <c r="KD97" s="4"/>
      <c r="KF97" s="4"/>
      <c r="KJ97" s="4"/>
      <c r="KT97" s="2"/>
      <c r="KU97" s="2"/>
      <c r="KW97" s="2"/>
      <c r="LC97" s="2"/>
      <c r="LF97" s="2"/>
      <c r="LK97" s="2"/>
      <c r="LT97" s="4"/>
      <c r="LV97" s="4"/>
      <c r="NB97" s="2"/>
      <c r="NC97" s="2"/>
      <c r="NN97" s="2"/>
      <c r="NO97" s="2"/>
      <c r="NT97" s="4"/>
      <c r="NV97" s="4"/>
      <c r="OA97" s="2"/>
      <c r="OB97" s="2"/>
      <c r="ON97" s="2"/>
      <c r="OT97" s="4"/>
      <c r="PD97" s="2"/>
      <c r="PH97" s="2"/>
      <c r="PN97" s="3"/>
      <c r="PQ97" s="2"/>
      <c r="PZ97" s="2"/>
      <c r="QF97" s="4"/>
      <c r="QH97" s="4"/>
      <c r="QZ97" s="2"/>
      <c r="RA97" s="2"/>
      <c r="RR97" s="2"/>
      <c r="RT97" s="2"/>
      <c r="RU97" s="2"/>
      <c r="SA97" s="4"/>
      <c r="SC97" s="4"/>
      <c r="SN97" s="2"/>
      <c r="SQ97" s="4"/>
      <c r="SS97" s="4"/>
      <c r="TG97" s="2"/>
      <c r="TH97" s="2"/>
      <c r="TI97" s="2"/>
      <c r="TU97" s="4"/>
      <c r="TW97" s="4"/>
    </row>
    <row r="98" spans="1:543">
      <c r="A98">
        <v>5398</v>
      </c>
      <c r="B98">
        <v>5202</v>
      </c>
      <c r="C98">
        <v>6802724370</v>
      </c>
      <c r="D98" t="s">
        <v>166</v>
      </c>
      <c r="E98" t="s">
        <v>513</v>
      </c>
      <c r="F98" t="s">
        <v>514</v>
      </c>
      <c r="G98" s="2">
        <v>39744</v>
      </c>
      <c r="H98" t="s">
        <v>30</v>
      </c>
      <c r="I98" t="s">
        <v>53</v>
      </c>
      <c r="J98" t="s">
        <v>32</v>
      </c>
      <c r="K98" t="s">
        <v>515</v>
      </c>
      <c r="L98" t="s">
        <v>77</v>
      </c>
      <c r="M98" s="2"/>
      <c r="N98" t="s">
        <v>516</v>
      </c>
      <c r="O98" s="2">
        <f>DATE(YEAR(G98) + P98, MONTH(G98), DAY(G98))</f>
        <v>63850</v>
      </c>
      <c r="P98">
        <v>66</v>
      </c>
      <c r="Q98" s="2"/>
      <c r="R98" t="s">
        <v>47</v>
      </c>
      <c r="S98" t="s">
        <v>37</v>
      </c>
      <c r="T98" s="2">
        <v>28474</v>
      </c>
      <c r="U98" t="s">
        <v>65</v>
      </c>
      <c r="V98" t="s">
        <v>39</v>
      </c>
      <c r="W98">
        <v>23</v>
      </c>
      <c r="X98" s="1">
        <v>19672</v>
      </c>
      <c r="Y98" s="1">
        <f t="shared" si="5"/>
        <v>4918</v>
      </c>
      <c r="Z98" s="1">
        <f t="shared" si="6"/>
        <v>14754</v>
      </c>
      <c r="AA98" s="3">
        <v>586</v>
      </c>
      <c r="AJ98" s="3"/>
      <c r="AK98" s="3"/>
      <c r="AM98" s="4"/>
      <c r="AO98" s="4"/>
      <c r="BA98" s="2"/>
      <c r="BB98" s="2"/>
      <c r="BD98" s="4"/>
      <c r="BF98" s="4"/>
      <c r="BM98" s="2"/>
      <c r="BQ98" s="4"/>
      <c r="CI98" s="2"/>
      <c r="CJ98" s="2"/>
      <c r="CN98" s="2"/>
      <c r="CQ98" s="2"/>
      <c r="CV98" s="4"/>
      <c r="CX98" s="4"/>
      <c r="DA98" s="3"/>
      <c r="DB98" s="2"/>
      <c r="DC98" s="2"/>
      <c r="DE98" s="2"/>
      <c r="DF98" s="2"/>
      <c r="DV98" s="2"/>
      <c r="DW98" s="2"/>
      <c r="EF98" s="4"/>
      <c r="EH98" s="4"/>
      <c r="ES98" s="2"/>
      <c r="EX98" s="4"/>
      <c r="EZ98" s="4"/>
      <c r="FQ98" s="4"/>
      <c r="FS98" s="4"/>
      <c r="GE98" s="2"/>
      <c r="GJ98" s="4"/>
      <c r="GL98" s="4"/>
      <c r="GR98" s="2"/>
      <c r="GS98" s="3"/>
      <c r="GT98" s="3"/>
      <c r="GV98" s="2"/>
      <c r="GX98" s="3"/>
      <c r="HB98" s="3"/>
      <c r="HP98" s="2"/>
      <c r="HS98" s="4"/>
      <c r="HU98" s="4"/>
      <c r="II98" s="4"/>
      <c r="IK98" s="4"/>
      <c r="IS98" s="2"/>
      <c r="IT98" s="2"/>
      <c r="IV98" s="2"/>
      <c r="IW98" s="4"/>
      <c r="IY98" s="4"/>
      <c r="JH98" s="2"/>
      <c r="JK98" s="4"/>
      <c r="JM98" s="4"/>
      <c r="JZ98" s="2"/>
      <c r="KD98" s="4"/>
      <c r="KF98" s="4"/>
      <c r="KJ98" s="4"/>
      <c r="KT98" s="2"/>
      <c r="KU98" s="2"/>
      <c r="KW98" s="2"/>
      <c r="LC98" s="2"/>
      <c r="LF98" s="2"/>
      <c r="LK98" s="2"/>
      <c r="LT98" s="4"/>
      <c r="LV98" s="4"/>
      <c r="NB98" s="2"/>
      <c r="NC98" s="2"/>
      <c r="NG98" s="5"/>
      <c r="NJ98" s="2"/>
      <c r="NN98" s="2"/>
      <c r="NO98" s="2"/>
      <c r="NT98" s="4"/>
      <c r="NV98" s="4"/>
      <c r="OA98" s="2"/>
      <c r="OB98" s="2"/>
      <c r="ON98" s="2"/>
      <c r="OR98" s="4"/>
      <c r="OT98" s="4"/>
      <c r="PD98" s="2"/>
      <c r="PH98" s="2"/>
      <c r="PP98" s="3"/>
      <c r="PQ98" s="2"/>
      <c r="PX98" s="2"/>
      <c r="PZ98" s="2"/>
      <c r="QF98" s="4"/>
      <c r="QH98" s="4"/>
      <c r="QZ98" s="2"/>
      <c r="RN98" s="4"/>
      <c r="RO98" s="4"/>
      <c r="RR98" s="2"/>
      <c r="RT98" s="2"/>
      <c r="RU98" s="2"/>
      <c r="SA98" s="4"/>
      <c r="SC98" s="4"/>
      <c r="SN98" s="2"/>
      <c r="SQ98" s="4"/>
      <c r="SS98" s="4"/>
      <c r="TG98" s="2"/>
      <c r="TH98" s="2"/>
      <c r="TI98" s="2"/>
      <c r="TU98" s="4"/>
      <c r="TW98" s="4"/>
    </row>
    <row r="99" spans="1:543">
      <c r="A99">
        <v>8864</v>
      </c>
      <c r="B99">
        <v>8925</v>
      </c>
      <c r="C99">
        <v>5795448888</v>
      </c>
      <c r="D99" t="s">
        <v>267</v>
      </c>
      <c r="E99" t="s">
        <v>517</v>
      </c>
      <c r="F99" t="s">
        <v>518</v>
      </c>
      <c r="G99" s="2">
        <v>40245</v>
      </c>
      <c r="H99" t="s">
        <v>43</v>
      </c>
      <c r="I99" t="s">
        <v>236</v>
      </c>
      <c r="J99" t="s">
        <v>32</v>
      </c>
      <c r="K99" t="s">
        <v>519</v>
      </c>
      <c r="L99" t="s">
        <v>77</v>
      </c>
      <c r="M99" s="2"/>
      <c r="N99" t="s">
        <v>520</v>
      </c>
      <c r="O99" s="2">
        <f>DATE(YEAR(G99) + P99, MONTH(G99), DAY(G99))</f>
        <v>63256</v>
      </c>
      <c r="P99">
        <v>63</v>
      </c>
      <c r="Q99" s="2"/>
      <c r="R99" t="s">
        <v>47</v>
      </c>
      <c r="S99" t="s">
        <v>64</v>
      </c>
      <c r="T99" s="2">
        <v>29187</v>
      </c>
      <c r="U99" t="s">
        <v>133</v>
      </c>
      <c r="V99" t="s">
        <v>39</v>
      </c>
      <c r="W99">
        <v>28</v>
      </c>
      <c r="X99" s="1">
        <v>68640</v>
      </c>
      <c r="Y99" s="1">
        <f t="shared" si="5"/>
        <v>17160</v>
      </c>
      <c r="Z99" s="1">
        <f t="shared" si="6"/>
        <v>51480</v>
      </c>
      <c r="AA99" s="3">
        <v>89</v>
      </c>
      <c r="AK99" s="3"/>
      <c r="AM99" s="4"/>
      <c r="AO99" s="4"/>
      <c r="BA99" s="2"/>
      <c r="BB99" s="2"/>
      <c r="BD99" s="4"/>
      <c r="BF99" s="4"/>
      <c r="BM99" s="2"/>
      <c r="BQ99" s="4"/>
      <c r="CI99" s="2"/>
      <c r="CJ99" s="2"/>
      <c r="CN99" s="2"/>
      <c r="CQ99" s="2"/>
      <c r="CV99" s="4"/>
      <c r="CX99" s="4"/>
      <c r="DC99" s="2"/>
      <c r="DE99" s="2"/>
      <c r="DF99" s="2"/>
      <c r="DV99" s="2"/>
      <c r="DW99" s="2"/>
      <c r="EF99" s="4"/>
      <c r="EH99" s="4"/>
      <c r="ER99" s="2"/>
      <c r="ES99" s="2"/>
      <c r="EZ99" s="4"/>
      <c r="FS99" s="4"/>
      <c r="GE99" s="2"/>
      <c r="GJ99" s="4"/>
      <c r="GL99" s="4"/>
      <c r="GR99" s="2"/>
      <c r="GS99" s="3"/>
      <c r="GT99" s="3"/>
      <c r="GU99" s="3"/>
      <c r="GV99" s="2"/>
      <c r="GW99" s="3"/>
      <c r="GX99" s="3"/>
      <c r="GY99" s="3"/>
      <c r="HB99" s="3"/>
      <c r="HP99" s="2"/>
      <c r="HS99" s="4"/>
      <c r="HU99" s="4"/>
      <c r="IK99" s="4"/>
      <c r="IS99" s="2"/>
      <c r="IT99" s="2"/>
      <c r="IV99" s="2"/>
      <c r="IW99" s="4"/>
      <c r="IY99" s="4"/>
      <c r="JH99" s="2"/>
      <c r="JK99" s="4"/>
      <c r="JM99" s="4"/>
      <c r="JZ99" s="2"/>
      <c r="KD99" s="4"/>
      <c r="KF99" s="4"/>
      <c r="KT99" s="2"/>
      <c r="KU99" s="2"/>
      <c r="KW99" s="2"/>
      <c r="LC99" s="2"/>
      <c r="LF99" s="2"/>
      <c r="LK99" s="2"/>
      <c r="LT99" s="4"/>
      <c r="LV99" s="4"/>
      <c r="NB99" s="2"/>
      <c r="NC99" s="2"/>
      <c r="NG99" s="5"/>
      <c r="NJ99" s="2"/>
      <c r="NN99" s="2"/>
      <c r="NO99" s="2"/>
      <c r="NT99" s="4"/>
      <c r="NV99" s="4"/>
      <c r="OA99" s="2"/>
      <c r="OB99" s="2"/>
      <c r="ON99" s="2"/>
      <c r="OR99" s="4"/>
      <c r="OT99" s="4"/>
      <c r="PD99" s="2"/>
      <c r="PH99" s="2"/>
      <c r="PQ99" s="2"/>
      <c r="PX99" s="2"/>
      <c r="PZ99" s="2"/>
      <c r="QH99" s="4"/>
      <c r="QZ99" s="2"/>
      <c r="RA99" s="2"/>
      <c r="RN99" s="4"/>
      <c r="RO99" s="4"/>
      <c r="RR99" s="2"/>
      <c r="RT99" s="2"/>
      <c r="RU99" s="2"/>
      <c r="SA99" s="4"/>
      <c r="SC99" s="4"/>
      <c r="SN99" s="2"/>
      <c r="SQ99" s="4"/>
      <c r="SS99" s="4"/>
      <c r="TG99" s="2"/>
      <c r="TH99" s="2"/>
      <c r="TI99" s="2"/>
      <c r="TU99" s="4"/>
    </row>
    <row r="100" spans="1:543">
      <c r="A100">
        <v>6542</v>
      </c>
      <c r="B100">
        <v>5392</v>
      </c>
      <c r="C100">
        <v>1448378922</v>
      </c>
      <c r="D100" t="s">
        <v>27</v>
      </c>
      <c r="E100" t="s">
        <v>521</v>
      </c>
      <c r="F100" t="s">
        <v>522</v>
      </c>
      <c r="G100" s="2">
        <v>24059</v>
      </c>
      <c r="H100" t="s">
        <v>43</v>
      </c>
      <c r="I100" t="s">
        <v>523</v>
      </c>
      <c r="J100" t="s">
        <v>32</v>
      </c>
      <c r="K100" t="s">
        <v>524</v>
      </c>
      <c r="L100" t="s">
        <v>95</v>
      </c>
      <c r="M100" s="2"/>
      <c r="N100" t="s">
        <v>525</v>
      </c>
      <c r="O100" s="2">
        <f>DATE(YEAR(G100) + P100, MONTH(G100), DAY(G100))</f>
        <v>47800</v>
      </c>
      <c r="P100">
        <v>65</v>
      </c>
      <c r="Q100" s="2"/>
      <c r="R100" t="s">
        <v>47</v>
      </c>
      <c r="S100" t="s">
        <v>48</v>
      </c>
      <c r="T100" s="2">
        <v>26237</v>
      </c>
      <c r="U100" t="s">
        <v>49</v>
      </c>
      <c r="V100" t="s">
        <v>39</v>
      </c>
      <c r="W100">
        <v>21</v>
      </c>
      <c r="X100" s="1">
        <v>35002</v>
      </c>
      <c r="Y100" s="1">
        <f t="shared" si="5"/>
        <v>8750.5</v>
      </c>
      <c r="Z100" s="1">
        <f t="shared" si="6"/>
        <v>26251.5</v>
      </c>
      <c r="AA100" s="3">
        <v>177</v>
      </c>
      <c r="AK100" s="3"/>
      <c r="AM100" s="4"/>
      <c r="AO100" s="4"/>
      <c r="BA100" s="2"/>
      <c r="BB100" s="2"/>
      <c r="BD100" s="4"/>
      <c r="BF100" s="4"/>
      <c r="BM100" s="2"/>
      <c r="BO100" s="4"/>
      <c r="BQ100" s="4"/>
      <c r="CH100" s="3"/>
      <c r="CI100" s="2"/>
      <c r="CJ100" s="2"/>
      <c r="CN100" s="2"/>
      <c r="CV100" s="4"/>
      <c r="DB100" s="2"/>
      <c r="DC100" s="2"/>
      <c r="DE100" s="2"/>
      <c r="DF100" s="2"/>
      <c r="DV100" s="2"/>
      <c r="DW100" s="2"/>
      <c r="EF100" s="4"/>
      <c r="EH100" s="4"/>
      <c r="ER100" s="2"/>
      <c r="ES100" s="2"/>
      <c r="EX100" s="4"/>
      <c r="EZ100" s="4"/>
      <c r="FQ100" s="4"/>
      <c r="FS100" s="4"/>
      <c r="GJ100" s="4"/>
      <c r="GL100" s="4"/>
      <c r="GR100" s="2"/>
      <c r="GU100" s="3"/>
      <c r="GV100" s="2"/>
      <c r="GX100" s="3"/>
      <c r="HB100" s="3"/>
      <c r="HP100" s="2"/>
      <c r="HS100" s="4"/>
      <c r="HU100" s="4"/>
      <c r="II100" s="4"/>
      <c r="IK100" s="4"/>
      <c r="IS100" s="2"/>
      <c r="IT100" s="2"/>
      <c r="IV100" s="2"/>
      <c r="IW100" s="4"/>
      <c r="IY100" s="4"/>
      <c r="JH100" s="2"/>
      <c r="JK100" s="4"/>
      <c r="JM100" s="4"/>
      <c r="KF100" s="4"/>
      <c r="KJ100" s="4"/>
      <c r="KT100" s="2"/>
      <c r="KU100" s="2"/>
      <c r="KW100" s="2"/>
      <c r="LC100" s="2"/>
      <c r="LF100" s="2"/>
      <c r="LK100" s="2"/>
      <c r="LT100" s="4"/>
      <c r="LV100" s="4"/>
      <c r="ME100" s="3"/>
      <c r="NC100" s="2"/>
      <c r="NJ100" s="2"/>
      <c r="NN100" s="2"/>
      <c r="NO100" s="2"/>
      <c r="NT100" s="4"/>
      <c r="NV100" s="4"/>
      <c r="OA100" s="2"/>
      <c r="OB100" s="2"/>
      <c r="OJ100" s="3"/>
      <c r="ON100" s="2"/>
      <c r="OR100" s="4"/>
      <c r="PD100" s="2"/>
      <c r="PH100" s="2"/>
      <c r="PK100" s="3"/>
      <c r="PN100" s="3"/>
      <c r="PQ100" s="2"/>
      <c r="PX100" s="2"/>
      <c r="PZ100" s="2"/>
      <c r="QF100" s="4"/>
      <c r="QH100" s="4"/>
      <c r="QZ100" s="2"/>
      <c r="RA100" s="2"/>
      <c r="RN100" s="4"/>
      <c r="RO100" s="4"/>
      <c r="RT100" s="2"/>
      <c r="RU100" s="2"/>
      <c r="SA100" s="4"/>
      <c r="SC100" s="4"/>
      <c r="SM100" s="3"/>
      <c r="SN100" s="2"/>
      <c r="SQ100" s="4"/>
      <c r="SS100" s="4"/>
      <c r="TG100" s="2"/>
      <c r="TH100" s="2"/>
      <c r="TI100" s="2"/>
      <c r="TU100" s="4"/>
      <c r="TW100" s="4"/>
    </row>
    <row r="101" spans="1:543">
      <c r="A101">
        <v>4639</v>
      </c>
      <c r="B101">
        <v>4628</v>
      </c>
      <c r="C101">
        <v>8680346011</v>
      </c>
      <c r="D101" t="s">
        <v>267</v>
      </c>
      <c r="E101" t="s">
        <v>526</v>
      </c>
      <c r="F101" t="s">
        <v>527</v>
      </c>
      <c r="G101" s="2">
        <v>36737</v>
      </c>
      <c r="H101" t="s">
        <v>30</v>
      </c>
      <c r="I101" t="s">
        <v>70</v>
      </c>
      <c r="J101" t="s">
        <v>61</v>
      </c>
      <c r="K101" t="s">
        <v>528</v>
      </c>
      <c r="L101" t="s">
        <v>95</v>
      </c>
      <c r="M101" s="2">
        <v>31686</v>
      </c>
      <c r="N101" t="s">
        <v>529</v>
      </c>
      <c r="O101" s="2">
        <f>DATE(YEAR(G101) + P101, MONTH(G101), DAY(G101))</f>
        <v>61574</v>
      </c>
      <c r="P101">
        <v>68</v>
      </c>
      <c r="Q101" s="2"/>
      <c r="R101" t="s">
        <v>47</v>
      </c>
      <c r="S101" t="s">
        <v>109</v>
      </c>
      <c r="T101" t="s">
        <v>530</v>
      </c>
      <c r="U101" t="s">
        <v>65</v>
      </c>
      <c r="V101" t="s">
        <v>66</v>
      </c>
      <c r="W101">
        <v>22</v>
      </c>
      <c r="X101" s="1">
        <v>9790</v>
      </c>
      <c r="Y101" s="1">
        <f>X101*0.25</f>
        <v>2447.5</v>
      </c>
      <c r="Z101" s="1">
        <f t="shared" si="6"/>
        <v>7342.5</v>
      </c>
      <c r="AA101" s="3">
        <v>32</v>
      </c>
      <c r="AK101" s="3"/>
      <c r="AM101" s="4"/>
      <c r="AO101" s="4"/>
      <c r="BA101" s="2"/>
      <c r="BB101" s="2"/>
      <c r="BD101" s="4"/>
      <c r="BF101" s="4"/>
      <c r="BM101" s="2"/>
      <c r="BO101" s="4"/>
      <c r="BQ101" s="4"/>
      <c r="CI101" s="2"/>
      <c r="CJ101" s="2"/>
      <c r="CN101" s="2"/>
      <c r="CP101" s="3"/>
      <c r="CQ101" s="2"/>
      <c r="CV101" s="4"/>
      <c r="CX101" s="4"/>
      <c r="DB101" s="2"/>
      <c r="DC101" s="2"/>
      <c r="DF101" s="2"/>
      <c r="DG101" s="3"/>
      <c r="DV101" s="2"/>
      <c r="DW101" s="2"/>
      <c r="EF101" s="4"/>
      <c r="EH101" s="4"/>
      <c r="ES101" s="2"/>
      <c r="EX101" s="4"/>
      <c r="EZ101" s="4"/>
      <c r="FQ101" s="4"/>
      <c r="FS101" s="4"/>
      <c r="GE101" s="2"/>
      <c r="GJ101" s="4"/>
      <c r="GL101" s="4"/>
      <c r="GR101" s="2"/>
      <c r="GS101" s="3"/>
      <c r="GT101" s="3"/>
      <c r="GV101" s="2"/>
      <c r="GY101" s="3"/>
      <c r="HB101" s="3"/>
      <c r="HP101" s="2"/>
      <c r="HS101" s="4"/>
      <c r="HU101" s="4"/>
      <c r="II101" s="4"/>
      <c r="IK101" s="4"/>
      <c r="IT101" s="2"/>
      <c r="IV101" s="2"/>
      <c r="IW101" s="4"/>
      <c r="IY101" s="4"/>
      <c r="JH101" s="2"/>
      <c r="JK101" s="4"/>
      <c r="JM101" s="4"/>
      <c r="JZ101" s="2"/>
      <c r="KD101" s="4"/>
      <c r="KF101" s="4"/>
      <c r="KJ101" s="4"/>
      <c r="KT101" s="2"/>
      <c r="KU101" s="2"/>
      <c r="KW101" s="2"/>
      <c r="LC101" s="2"/>
      <c r="LF101" s="2"/>
      <c r="LK101" s="2"/>
      <c r="LT101" s="4"/>
      <c r="LV101" s="4"/>
      <c r="NB101" s="2"/>
      <c r="NC101" s="2"/>
      <c r="NG101" s="5"/>
      <c r="NJ101" s="2"/>
      <c r="NN101" s="2"/>
      <c r="NO101" s="2"/>
      <c r="NT101" s="4"/>
      <c r="NV101" s="4"/>
      <c r="OA101" s="2"/>
      <c r="OB101" s="2"/>
      <c r="ON101" s="2"/>
      <c r="OR101" s="4"/>
      <c r="OT101" s="4"/>
      <c r="PD101" s="2"/>
      <c r="PH101" s="2"/>
      <c r="PN101" s="3"/>
      <c r="PQ101" s="2"/>
      <c r="PX101" s="2"/>
      <c r="PY101" s="3"/>
      <c r="PZ101" s="2"/>
      <c r="QF101" s="4"/>
      <c r="QH101" s="4"/>
      <c r="QZ101" s="2"/>
      <c r="RA101" s="2"/>
      <c r="RN101" s="4"/>
      <c r="RO101" s="4"/>
      <c r="RR101" s="2"/>
      <c r="RT101" s="2"/>
      <c r="RU101" s="2"/>
      <c r="SA101" s="4"/>
      <c r="SC101" s="4"/>
      <c r="SN101" s="2"/>
      <c r="SQ101" s="4"/>
      <c r="SS101" s="4"/>
      <c r="TG101" s="2"/>
      <c r="TH101" s="2"/>
      <c r="TI101" s="2"/>
      <c r="TU101" s="4"/>
      <c r="TW101" s="4"/>
    </row>
    <row r="102" spans="1:543" ht="15" customHeight="1"/>
    <row r="103" spans="1:543" ht="15" customHeight="1"/>
    <row r="104" spans="1:543" ht="15" customHeight="1"/>
    <row r="105" spans="1:543" ht="15" customHeight="1"/>
    <row r="106" spans="1:543" ht="15" customHeight="1"/>
    <row r="107" spans="1:543" ht="15" customHeight="1"/>
    <row r="108" spans="1:543" ht="15" customHeight="1"/>
    <row r="109" spans="1:543" ht="15" customHeight="1"/>
    <row r="110" spans="1:543" ht="15" customHeight="1"/>
    <row r="111" spans="1:543" ht="15" customHeight="1"/>
    <row r="112" spans="1:543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061792671CED4498A473A74009F3CE" ma:contentTypeVersion="17" ma:contentTypeDescription="Create a new document." ma:contentTypeScope="" ma:versionID="9c5ed416050bc93a9d3361b1f41b0660">
  <xsd:schema xmlns:xsd="http://www.w3.org/2001/XMLSchema" xmlns:xs="http://www.w3.org/2001/XMLSchema" xmlns:p="http://schemas.microsoft.com/office/2006/metadata/properties" xmlns:ns1="http://schemas.microsoft.com/sharepoint/v3" xmlns:ns2="1ade3efb-00bd-4d2f-961c-491c1d85d402" xmlns:ns3="0bc66e56-89fb-4e64-a58c-11f3b0c0085a" targetNamespace="http://schemas.microsoft.com/office/2006/metadata/properties" ma:root="true" ma:fieldsID="a1db2df516b0f267736aca33a9a5fa9d" ns1:_="" ns2:_="" ns3:_="">
    <xsd:import namespace="http://schemas.microsoft.com/sharepoint/v3"/>
    <xsd:import namespace="1ade3efb-00bd-4d2f-961c-491c1d85d402"/>
    <xsd:import namespace="0bc66e56-89fb-4e64-a58c-11f3b0c00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e3efb-00bd-4d2f-961c-491c1d85d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ee4fd0a-b474-4a32-a144-dd33b07833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66e56-89fb-4e64-a58c-11f3b0c00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60df5fb-0573-47a3-9aed-d7abcb51fbc8}" ma:internalName="TaxCatchAll" ma:showField="CatchAllData" ma:web="0bc66e56-89fb-4e64-a58c-11f3b0c00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bc66e56-89fb-4e64-a58c-11f3b0c0085a" xsi:nil="true"/>
    <_ip_UnifiedCompliancePolicyProperties xmlns="http://schemas.microsoft.com/sharepoint/v3" xsi:nil="true"/>
    <lcf76f155ced4ddcb4097134ff3c332f xmlns="1ade3efb-00bd-4d2f-961c-491c1d85d4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BB9F8B-2509-448C-A25C-CAA3E25D3987}"/>
</file>

<file path=customXml/itemProps2.xml><?xml version="1.0" encoding="utf-8"?>
<ds:datastoreItem xmlns:ds="http://schemas.openxmlformats.org/officeDocument/2006/customXml" ds:itemID="{17FBB2FD-34AF-4201-B9DC-ED191EE29D0D}"/>
</file>

<file path=customXml/itemProps3.xml><?xml version="1.0" encoding="utf-8"?>
<ds:datastoreItem xmlns:ds="http://schemas.openxmlformats.org/officeDocument/2006/customXml" ds:itemID="{EE498815-B47C-497A-B048-404EAB487BA1}"/>
</file>

<file path=docMetadata/LabelInfo.xml><?xml version="1.0" encoding="utf-8"?>
<clbl:labelList xmlns:clbl="http://schemas.microsoft.com/office/2020/mipLabelMetadata">
  <clbl:label id="{17151eb3-00ab-470c-b25c-644c7691e891}" enabled="1" method="Privileged" siteId="{3ded2960-214a-46ff-8cf4-611f125e23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Saltmer, Terri (IP&amp;I Data CoE )</dc:creator>
  <cp:keywords/>
  <dc:description/>
  <cp:lastModifiedBy>Akers, Matthew (IP&amp;I Data CoE)</cp:lastModifiedBy>
  <cp:revision/>
  <dcterms:created xsi:type="dcterms:W3CDTF">2025-12-05T15:52:22Z</dcterms:created>
  <dcterms:modified xsi:type="dcterms:W3CDTF">2025-12-08T09:14:36Z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0x010100CD061792671CED4498A473A74009F3CE</vt:lpwstr>
  </property>
  <property fmtid="{D5CDD505-2E9C-101B-9397-08002B2CF9AE}" pid="3" name="MediaServiceImageTags">
    <vt:lpwstr/>
  </property>
</Properties>
</file>